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theowilson/Documents/Uni/Year 3/"/>
    </mc:Choice>
  </mc:AlternateContent>
  <xr:revisionPtr revIDLastSave="0" documentId="8_{64B40C3B-68AA-A94E-9FB0-3F0A22D679DA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E12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R18" i="1"/>
  <c r="P18" i="1"/>
  <c r="S18" i="1"/>
  <c r="Q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4" i="1"/>
  <c r="R14" i="1"/>
  <c r="Q14" i="1"/>
  <c r="P14" i="1"/>
  <c r="N14" i="1"/>
  <c r="M14" i="1"/>
  <c r="L14" i="1"/>
  <c r="K14" i="1"/>
  <c r="J14" i="1"/>
  <c r="I14" i="1"/>
  <c r="H14" i="1"/>
  <c r="G14" i="1"/>
  <c r="F14" i="1"/>
  <c r="E14" i="1"/>
  <c r="D14" i="1"/>
  <c r="C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D12" i="1"/>
  <c r="C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<sst xmlns="http://schemas.openxmlformats.org/spreadsheetml/2006/main" count="9" uniqueCount="8">
  <si>
    <t>t\S</t>
  </si>
  <si>
    <t>T (Maturity date) =</t>
  </si>
  <si>
    <t xml:space="preserve">r (Risk-Free interest rate) = </t>
  </si>
  <si>
    <t>Inputs</t>
  </si>
  <si>
    <t>EUROPEAN CALL OPTION</t>
  </si>
  <si>
    <t>EUROPEAN PUT OPTION</t>
  </si>
  <si>
    <t>Sigma/σ (Volatility) =</t>
  </si>
  <si>
    <t>K/F (Strike price)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</si>
</sst>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 (Body)"/>
    </font>
    <font>
      <b/>
      <sz val="18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3" borderId="2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4" fontId="0" fillId="3" borderId="1" xfId="0" applyNumberForma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wrapText="1"/>
    </xf>
    <xf numFmtId="164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European</a:t>
            </a:r>
            <a:r>
              <a:rPr lang="en-GB" u="sng" baseline="0"/>
              <a:t> Call Option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330"/>
      <c:rAngAx val="0"/>
    </c:view3D>
    <c:floor>
      <c:thickness val="0"/>
      <c:spPr>
        <a:noFill/>
        <a:ln w="12700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1"/>
          <c:tx>
            <c:v>0</c:v>
          </c:tx>
          <c:spPr>
            <a:solidFill>
              <a:schemeClr val="accent6">
                <a:shade val="51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Sheet1!$B$9:$S$9</c15:sqref>
                  </c15:fullRef>
                </c:ext>
              </c:extLst>
              <c:f>Sheet1!$C$9:$S$9</c:f>
              <c:numCache>
                <c:formatCode>"£"#,##0.00</c:formatCode>
                <c:ptCount val="17"/>
                <c:pt idx="0">
                  <c:v>0.60646384491712535</c:v>
                </c:pt>
                <c:pt idx="1">
                  <c:v>1.1372681109635803</c:v>
                </c:pt>
                <c:pt idx="2">
                  <c:v>1.9406065472739176</c:v>
                </c:pt>
                <c:pt idx="3">
                  <c:v>3.0673133544083484</c:v>
                </c:pt>
                <c:pt idx="4">
                  <c:v>4.553219350065298</c:v>
                </c:pt>
                <c:pt idx="5">
                  <c:v>6.4170604931194326</c:v>
                </c:pt>
                <c:pt idx="6">
                  <c:v>8.6610551898556665</c:v>
                </c:pt>
                <c:pt idx="7">
                  <c:v>11.273324407848392</c:v>
                </c:pt>
                <c:pt idx="8">
                  <c:v>14.231254785985819</c:v>
                </c:pt>
                <c:pt idx="9">
                  <c:v>17.505059363581395</c:v>
                </c:pt>
                <c:pt idx="10">
                  <c:v>21.061031192609683</c:v>
                </c:pt>
                <c:pt idx="11">
                  <c:v>24.864218436074864</c:v>
                </c:pt>
                <c:pt idx="12">
                  <c:v>28.88043093211148</c:v>
                </c:pt>
                <c:pt idx="13">
                  <c:v>33.077607137089743</c:v>
                </c:pt>
                <c:pt idx="14">
                  <c:v>37.426634707381893</c:v>
                </c:pt>
                <c:pt idx="15">
                  <c:v>41.901742329818973</c:v>
                </c:pt>
                <c:pt idx="16">
                  <c:v>46.480579412081511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B-48D9-B76F-EA0952F5AC08}"/>
            </c:ext>
          </c:extLst>
        </c:ser>
        <c:ser>
          <c:idx val="2"/>
          <c:order val="2"/>
          <c:tx>
            <c:v>0.1</c:v>
          </c:tx>
          <c:spPr>
            <a:solidFill>
              <a:schemeClr val="accent6">
                <a:shade val="62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Sheet1!$B$10:$S$10</c15:sqref>
                  </c15:fullRef>
                </c:ext>
              </c:extLst>
              <c:f>Sheet1!$C$10:$S$10</c:f>
              <c:numCache>
                <c:formatCode>"£"#,##0.00</c:formatCode>
                <c:ptCount val="17"/>
                <c:pt idx="0">
                  <c:v>0.4557210010860322</c:v>
                </c:pt>
                <c:pt idx="1">
                  <c:v>0.90025965609151548</c:v>
                </c:pt>
                <c:pt idx="2">
                  <c:v>1.6024492075401096</c:v>
                </c:pt>
                <c:pt idx="3">
                  <c:v>2.62136743438165</c:v>
                </c:pt>
                <c:pt idx="4">
                  <c:v>4.001780106048237</c:v>
                </c:pt>
                <c:pt idx="5">
                  <c:v>5.7703044198026063</c:v>
                </c:pt>
                <c:pt idx="6">
                  <c:v>7.9348772365716087</c:v>
                </c:pt>
                <c:pt idx="7">
                  <c:v>10.486775710008899</c:v>
                </c:pt>
                <c:pt idx="8">
                  <c:v>13.404145314594082</c:v>
                </c:pt>
                <c:pt idx="9">
                  <c:v>16.65606300650694</c:v>
                </c:pt>
                <c:pt idx="10">
                  <c:v>20.206418564963677</c:v>
                </c:pt>
                <c:pt idx="11">
                  <c:v>24.017190518314578</c:v>
                </c:pt>
                <c:pt idx="12">
                  <c:v>28.050941853450908</c:v>
                </c:pt>
                <c:pt idx="13">
                  <c:v>32.272534386802221</c:v>
                </c:pt>
                <c:pt idx="14">
                  <c:v>36.650160862820286</c:v>
                </c:pt>
                <c:pt idx="15">
                  <c:v>41.155836761867846</c:v>
                </c:pt>
                <c:pt idx="16">
                  <c:v>45.76549880990639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B-48D9-B76F-EA0952F5AC08}"/>
            </c:ext>
          </c:extLst>
        </c:ser>
        <c:ser>
          <c:idx val="3"/>
          <c:order val="3"/>
          <c:tx>
            <c:v>0.2</c:v>
          </c:tx>
          <c:spPr>
            <a:solidFill>
              <a:schemeClr val="accent6">
                <a:shade val="7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Sheet1!$B$11:$S$11</c15:sqref>
                  </c15:fullRef>
                </c:ext>
              </c:extLst>
              <c:f>Sheet1!$C$11:$S$11</c:f>
              <c:numCache>
                <c:formatCode>"£"#,##0.00</c:formatCode>
                <c:ptCount val="17"/>
                <c:pt idx="0">
                  <c:v>0.32350873564446436</c:v>
                </c:pt>
                <c:pt idx="1">
                  <c:v>0.68153250583166525</c:v>
                </c:pt>
                <c:pt idx="2">
                  <c:v>1.2778681729303916</c:v>
                </c:pt>
                <c:pt idx="3">
                  <c:v>2.1803704754747173</c:v>
                </c:pt>
                <c:pt idx="4">
                  <c:v>3.4443241356956307</c:v>
                </c:pt>
                <c:pt idx="5">
                  <c:v>5.1062426197047159</c:v>
                </c:pt>
                <c:pt idx="6">
                  <c:v>7.1816205037489951</c:v>
                </c:pt>
                <c:pt idx="7">
                  <c:v>9.6661610103422504</c:v>
                </c:pt>
                <c:pt idx="8">
                  <c:v>12.539335611616693</c:v>
                </c:pt>
                <c:pt idx="9">
                  <c:v>15.769020904087363</c:v>
                </c:pt>
                <c:pt idx="10">
                  <c:v>19.316190580197208</c:v>
                </c:pt>
                <c:pt idx="11">
                  <c:v>23.139002396627873</c:v>
                </c:pt>
                <c:pt idx="12">
                  <c:v>27.195965112652786</c:v>
                </c:pt>
                <c:pt idx="13">
                  <c:v>31.448128967680219</c:v>
                </c:pt>
                <c:pt idx="14">
                  <c:v>35.860401636032861</c:v>
                </c:pt>
                <c:pt idx="15">
                  <c:v>40.402165661575609</c:v>
                </c:pt>
                <c:pt idx="16">
                  <c:v>45.047389019562146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B-48D9-B76F-EA0952F5AC08}"/>
            </c:ext>
          </c:extLst>
        </c:ser>
        <c:ser>
          <c:idx val="4"/>
          <c:order val="4"/>
          <c:tx>
            <c:v>0.3</c:v>
          </c:tx>
          <c:spPr>
            <a:solidFill>
              <a:schemeClr val="accent6">
                <a:shade val="8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Sheet1!$B$12:$S$12</c15:sqref>
                  </c15:fullRef>
                </c:ext>
              </c:extLst>
              <c:f>Sheet1!$C$12:$S$12</c:f>
              <c:numCache>
                <c:formatCode>"£"#,##0.00</c:formatCode>
                <c:ptCount val="17"/>
                <c:pt idx="0">
                  <c:v>0.21224552121678819</c:v>
                </c:pt>
                <c:pt idx="1">
                  <c:v>0.48519434124720284</c:v>
                </c:pt>
                <c:pt idx="2">
                  <c:v>0.97161448342244228</c:v>
                </c:pt>
                <c:pt idx="3">
                  <c:v>1.7482176638023432</c:v>
                </c:pt>
                <c:pt idx="4">
                  <c:v>2.8825595923091143</c:v>
                </c:pt>
                <c:pt idx="5">
                  <c:v>4.4237034521392964</c:v>
                </c:pt>
                <c:pt idx="6">
                  <c:v>6.3973305649733376</c:v>
                </c:pt>
                <c:pt idx="7">
                  <c:v>8.8054881968904795</c:v>
                </c:pt>
                <c:pt idx="8">
                  <c:v>11.629887841940395</c:v>
                </c:pt>
                <c:pt idx="9">
                  <c:v>14.837170800306787</c:v>
                </c:pt>
                <c:pt idx="10">
                  <c:v>18.384673054094222</c:v>
                </c:pt>
                <c:pt idx="11">
                  <c:v>22.225648408650272</c:v>
                </c:pt>
                <c:pt idx="12">
                  <c:v>26.313393708604764</c:v>
                </c:pt>
                <c:pt idx="13">
                  <c:v>30.604116243304858</c:v>
                </c:pt>
                <c:pt idx="14">
                  <c:v>35.058641194084942</c:v>
                </c:pt>
                <c:pt idx="15">
                  <c:v>39.643185796259246</c:v>
                </c:pt>
                <c:pt idx="16">
                  <c:v>44.329461716306866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EB-48D9-B76F-EA0952F5AC08}"/>
            </c:ext>
          </c:extLst>
        </c:ser>
        <c:ser>
          <c:idx val="5"/>
          <c:order val="5"/>
          <c:tx>
            <c:v>0.4</c:v>
          </c:tx>
          <c:spPr>
            <a:solidFill>
              <a:schemeClr val="accent6">
                <a:shade val="9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Sheet1!$B$13:$S$13</c15:sqref>
                  </c15:fullRef>
                </c:ext>
              </c:extLst>
              <c:f>Sheet1!$C$13:$S$13</c:f>
              <c:numCache>
                <c:formatCode>"£"#,##0.00</c:formatCode>
                <c:ptCount val="17"/>
                <c:pt idx="0">
                  <c:v>0.12418306888028385</c:v>
                </c:pt>
                <c:pt idx="1">
                  <c:v>0.31611787236726752</c:v>
                </c:pt>
                <c:pt idx="2">
                  <c:v>0.69008780676802139</c:v>
                </c:pt>
                <c:pt idx="3">
                  <c:v>1.3307389083195051</c:v>
                </c:pt>
                <c:pt idx="4">
                  <c:v>2.3195950530129892</c:v>
                </c:pt>
                <c:pt idx="5">
                  <c:v>3.7217585400078583</c:v>
                </c:pt>
                <c:pt idx="6">
                  <c:v>5.5769708655529726</c:v>
                </c:pt>
                <c:pt idx="7">
                  <c:v>7.8966499283101115</c:v>
                </c:pt>
                <c:pt idx="8">
                  <c:v>10.666290902963347</c:v>
                </c:pt>
                <c:pt idx="9">
                  <c:v>13.851342922700113</c:v>
                </c:pt>
                <c:pt idx="10">
                  <c:v>17.404436074464599</c:v>
                </c:pt>
                <c:pt idx="11">
                  <c:v>21.272274814255738</c:v>
                </c:pt>
                <c:pt idx="12">
                  <c:v>25.40120333184862</c:v>
                </c:pt>
                <c:pt idx="13">
                  <c:v>29.741081484299627</c:v>
                </c:pt>
                <c:pt idx="14">
                  <c:v>34.247549346246629</c:v>
                </c:pt>
                <c:pt idx="15">
                  <c:v>38.882989816057346</c:v>
                </c:pt>
                <c:pt idx="16">
                  <c:v>43.616569316950233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EB-48D9-B76F-EA0952F5AC08}"/>
            </c:ext>
          </c:extLst>
        </c:ser>
        <c:ser>
          <c:idx val="6"/>
          <c:order val="6"/>
          <c:tx>
            <c:v>0.5</c:v>
          </c:tx>
          <c:spPr>
            <a:solidFill>
              <a:schemeClr val="accent6">
                <a:tint val="95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Sheet1!$B$14:$S$14</c15:sqref>
                  </c15:fullRef>
                </c:ext>
              </c:extLst>
              <c:f>Sheet1!$C$14:$S$14</c:f>
              <c:numCache>
                <c:formatCode>"£"#,##0.00</c:formatCode>
                <c:ptCount val="17"/>
                <c:pt idx="0">
                  <c:v>6.0866069922924537E-2</c:v>
                </c:pt>
                <c:pt idx="1">
                  <c:v>0.17976741238616967</c:v>
                </c:pt>
                <c:pt idx="2">
                  <c:v>0.44190325699199295</c:v>
                </c:pt>
                <c:pt idx="3">
                  <c:v>0.93686650580050745</c:v>
                </c:pt>
                <c:pt idx="4">
                  <c:v>1.7611180682343548</c:v>
                </c:pt>
                <c:pt idx="5">
                  <c:v>3.000266930040592</c:v>
                </c:pt>
                <c:pt idx="6">
                  <c:v>4.7140140222283584</c:v>
                </c:pt>
                <c:pt idx="7">
                  <c:v>6.9281981737911806</c:v>
                </c:pt>
                <c:pt idx="8">
                  <c:v>9.6348766284491774</c:v>
                </c:pt>
                <c:pt idx="9">
                  <c:v>12.798550095797282</c:v>
                </c:pt>
                <c:pt idx="10">
                  <c:v>16.365451108362819</c:v>
                </c:pt>
                <c:pt idx="11">
                  <c:v>20.273058346040244</c:v>
                </c:pt>
                <c:pt idx="12">
                  <c:v>24.457981136780603</c:v>
                </c:pt>
                <c:pt idx="13">
                  <c:v>28.861432373325883</c:v>
                </c:pt>
                <c:pt idx="14">
                  <c:v>33.432312674522166</c:v>
                </c:pt>
                <c:pt idx="15">
                  <c:v>38.128369737723389</c:v>
                </c:pt>
                <c:pt idx="16">
                  <c:v>42.91603711827581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EB-48D9-B76F-EA0952F5AC08}"/>
            </c:ext>
          </c:extLst>
        </c:ser>
        <c:ser>
          <c:idx val="7"/>
          <c:order val="7"/>
          <c:tx>
            <c:v>0.6</c:v>
          </c:tx>
          <c:spPr>
            <a:solidFill>
              <a:schemeClr val="accent6">
                <a:tint val="8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Sheet1!$B$15:$S$15</c15:sqref>
                  </c15:fullRef>
                </c:ext>
              </c:extLst>
              <c:f>Sheet1!$C$15:$S$15</c:f>
              <c:numCache>
                <c:formatCode>"£"#,##0.00</c:formatCode>
                <c:ptCount val="17"/>
                <c:pt idx="0">
                  <c:v>2.2124020178688253E-2</c:v>
                </c:pt>
                <c:pt idx="1">
                  <c:v>8.1422024793037728E-2</c:v>
                </c:pt>
                <c:pt idx="2">
                  <c:v>0.23839564334138874</c:v>
                </c:pt>
                <c:pt idx="3">
                  <c:v>0.5806093552287761</c:v>
                </c:pt>
                <c:pt idx="4">
                  <c:v>1.2178318755680326</c:v>
                </c:pt>
                <c:pt idx="5">
                  <c:v>2.2612911540015972</c:v>
                </c:pt>
                <c:pt idx="6">
                  <c:v>3.799913392160672</c:v>
                </c:pt>
                <c:pt idx="7">
                  <c:v>5.8830222021900269</c:v>
                </c:pt>
                <c:pt idx="8">
                  <c:v>8.514704182718404</c:v>
                </c:pt>
                <c:pt idx="9">
                  <c:v>11.659297849516399</c:v>
                </c:pt>
                <c:pt idx="10">
                  <c:v>15.253693384491257</c:v>
                </c:pt>
                <c:pt idx="11">
                  <c:v>19.221360709431721</c:v>
                </c:pt>
                <c:pt idx="12">
                  <c:v>23.484351782857402</c:v>
                </c:pt>
                <c:pt idx="13">
                  <c:v>27.971518011279571</c:v>
                </c:pt>
                <c:pt idx="14">
                  <c:v>32.622830472411408</c:v>
                </c:pt>
                <c:pt idx="15">
                  <c:v>37.390617172488462</c:v>
                </c:pt>
                <c:pt idx="16">
                  <c:v>42.238812960467541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EB-48D9-B76F-EA0952F5AC08}"/>
            </c:ext>
          </c:extLst>
        </c:ser>
        <c:ser>
          <c:idx val="8"/>
          <c:order val="8"/>
          <c:spPr>
            <a:solidFill>
              <a:schemeClr val="accent6">
                <a:tint val="7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Sheet1!$B$16:$S$16</c15:sqref>
                  </c15:fullRef>
                </c:ext>
              </c:extLst>
              <c:f>Sheet1!$C$16:$S$16</c:f>
              <c:numCache>
                <c:formatCode>"£"#,##0.00</c:formatCode>
                <c:ptCount val="17"/>
                <c:pt idx="0">
                  <c:v>4.5244518776660081E-3</c:v>
                </c:pt>
                <c:pt idx="1">
                  <c:v>2.3907941707599523E-2</c:v>
                </c:pt>
                <c:pt idx="2">
                  <c:v>9.3168983862592203E-2</c:v>
                </c:pt>
                <c:pt idx="3">
                  <c:v>0.284193013459757</c:v>
                </c:pt>
                <c:pt idx="4">
                  <c:v>0.71087046191386705</c:v>
                </c:pt>
                <c:pt idx="5">
                  <c:v>1.5131345526460294</c:v>
                </c:pt>
                <c:pt idx="6">
                  <c:v>2.8237455427942884</c:v>
                </c:pt>
                <c:pt idx="7">
                  <c:v>4.7334322851182407</c:v>
                </c:pt>
                <c:pt idx="8">
                  <c:v>7.2705830862813769</c:v>
                </c:pt>
                <c:pt idx="9">
                  <c:v>10.401828554168766</c:v>
                </c:pt>
                <c:pt idx="10">
                  <c:v>14.048807788973718</c:v>
                </c:pt>
                <c:pt idx="11">
                  <c:v>18.111171589492571</c:v>
                </c:pt>
                <c:pt idx="12">
                  <c:v>22.487063588898295</c:v>
                </c:pt>
                <c:pt idx="13">
                  <c:v>27.08661772166073</c:v>
                </c:pt>
                <c:pt idx="14">
                  <c:v>31.838067021996679</c:v>
                </c:pt>
                <c:pt idx="15">
                  <c:v>36.688332480470407</c:v>
                </c:pt>
                <c:pt idx="16">
                  <c:v>41.600508818419627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EB-48D9-B76F-EA0952F5AC08}"/>
            </c:ext>
          </c:extLst>
        </c:ser>
        <c:ser>
          <c:idx val="9"/>
          <c:order val="9"/>
          <c:tx>
            <c:v>0.8</c:v>
          </c:tx>
          <c:spPr>
            <a:solidFill>
              <a:schemeClr val="accent6">
                <a:tint val="6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Sheet1!$B$17:$S$17</c15:sqref>
                  </c15:fullRef>
                </c:ext>
              </c:extLst>
              <c:f>Sheet1!$C$17:$S$17</c:f>
              <c:numCache>
                <c:formatCode>"£"#,##0.00</c:formatCode>
                <c:ptCount val="17"/>
                <c:pt idx="0">
                  <c:v>2.3314196216433353E-4</c:v>
                </c:pt>
                <c:pt idx="1">
                  <c:v>2.5153820290850087E-3</c:v>
                </c:pt>
                <c:pt idx="2">
                  <c:v>1.7172346954252127E-2</c:v>
                </c:pt>
                <c:pt idx="3">
                  <c:v>8.1127057721857243E-2</c:v>
                </c:pt>
                <c:pt idx="4">
                  <c:v>0.28453444834855102</c:v>
                </c:pt>
                <c:pt idx="5">
                  <c:v>0.78370603933614724</c:v>
                </c:pt>
                <c:pt idx="6">
                  <c:v>1.774428783663808</c:v>
                </c:pt>
                <c:pt idx="7">
                  <c:v>3.4289523419229653</c:v>
                </c:pt>
                <c:pt idx="8">
                  <c:v>5.8340140514762666</c:v>
                </c:pt>
                <c:pt idx="9">
                  <c:v>8.9675562759807264</c:v>
                </c:pt>
                <c:pt idx="10">
                  <c:v>12.720913636833572</c:v>
                </c:pt>
                <c:pt idx="11">
                  <c:v>16.944779275990854</c:v>
                </c:pt>
                <c:pt idx="12">
                  <c:v>21.492109558901149</c:v>
                </c:pt>
                <c:pt idx="13">
                  <c:v>26.243412627894784</c:v>
                </c:pt>
                <c:pt idx="14">
                  <c:v>31.113987487822783</c:v>
                </c:pt>
                <c:pt idx="15">
                  <c:v>36.049844355539449</c:v>
                </c:pt>
                <c:pt idx="16">
                  <c:v>41.019418580436636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EB-48D9-B76F-EA0952F5AC08}"/>
            </c:ext>
          </c:extLst>
        </c:ser>
        <c:ser>
          <c:idx val="10"/>
          <c:order val="10"/>
          <c:tx>
            <c:v>0.9</c:v>
          </c:tx>
          <c:spPr>
            <a:solidFill>
              <a:schemeClr val="accent6">
                <a:tint val="52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Sheet1!$B$18:$S$18</c15:sqref>
                  </c15:fullRef>
                </c:ext>
              </c:extLst>
              <c:f>Sheet1!$C$18:$S$18</c:f>
              <c:numCache>
                <c:formatCode>"£"#,##0.00</c:formatCode>
                <c:ptCount val="17"/>
                <c:pt idx="0">
                  <c:v>6.271474399894964E-8</c:v>
                </c:pt>
                <c:pt idx="1">
                  <c:v>5.6066144306384891E-6</c:v>
                </c:pt>
                <c:pt idx="2">
                  <c:v>1.9915259056938958E-4</c:v>
                </c:pt>
                <c:pt idx="3">
                  <c:v>3.3604596974408513E-3</c:v>
                </c:pt>
                <c:pt idx="4">
                  <c:v>3.1014866530303498E-2</c:v>
                </c:pt>
                <c:pt idx="5">
                  <c:v>0.17546323846804146</c:v>
                </c:pt>
                <c:pt idx="6">
                  <c:v>0.66859208947005655</c:v>
                </c:pt>
                <c:pt idx="7">
                  <c:v>1.8577829863428157</c:v>
                </c:pt>
                <c:pt idx="8">
                  <c:v>4.0284577427200716</c:v>
                </c:pt>
                <c:pt idx="9">
                  <c:v>7.2228533711493839</c:v>
                </c:pt>
                <c:pt idx="10">
                  <c:v>11.238672155840234</c:v>
                </c:pt>
                <c:pt idx="11">
                  <c:v>15.778790876666477</c:v>
                </c:pt>
                <c:pt idx="12">
                  <c:v>20.592874973436452</c:v>
                </c:pt>
                <c:pt idx="13">
                  <c:v>25.527091035436854</c:v>
                </c:pt>
                <c:pt idx="14">
                  <c:v>30.506466927701837</c:v>
                </c:pt>
                <c:pt idx="15">
                  <c:v>35.500668819555429</c:v>
                </c:pt>
                <c:pt idx="16">
                  <c:v>40.499190573225363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EB-48D9-B76F-EA0952F5AC08}"/>
            </c:ext>
          </c:extLst>
        </c:ser>
        <c:ser>
          <c:idx val="11"/>
          <c:order val="11"/>
          <c:tx>
            <c:v>1</c:v>
          </c:tx>
          <c:spPr>
            <a:solidFill>
              <a:schemeClr val="accent6">
                <a:tint val="41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Sheet1!$B$19:$S$19</c15:sqref>
                  </c15:fullRef>
                </c:ext>
              </c:extLst>
              <c:f>Sheet1!$C$19:$S$19</c:f>
              <c:numCache>
                <c:formatCode>"£"#,##0.00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EB-48D9-B76F-EA0952F5AC08}"/>
            </c:ext>
          </c:extLst>
        </c:ser>
        <c:bandFmts>
          <c:bandFmt>
            <c:idx val="1"/>
            <c:spPr>
              <a:solidFill>
                <a:schemeClr val="accent6">
                  <a:shade val="41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6">
                  <a:shade val="53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6">
                  <a:shade val="65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6">
                  <a:shade val="76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>
                  <a:shade val="88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6">
                  <a:tint val="89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6">
                  <a:tint val="77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6">
                  <a:tint val="65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6">
                  <a:tint val="54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tint val="42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6">
                  <a:tint val="3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6">
                  <a:tint val="19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6">
                  <a:tint val="7000"/>
                </a:schemeClr>
              </a:solidFill>
              <a:ln/>
              <a:effectLst/>
              <a:sp3d/>
            </c:spPr>
          </c:bandFmt>
          <c:bandFmt>
            <c:idx val="15"/>
            <c:spPr>
              <a:solidFill>
                <a:schemeClr val="accent6">
                  <a:tint val="95000"/>
                </a:schemeClr>
              </a:solidFill>
              <a:ln/>
              <a:effectLst/>
              <a:sp3d/>
            </c:spPr>
          </c:bandFmt>
        </c:bandFmts>
        <c:axId val="1520670832"/>
        <c:axId val="1520671312"/>
        <c:axId val="1099022320"/>
        <c:extLst>
          <c:ext xmlns:c15="http://schemas.microsoft.com/office/drawing/2012/chart" uri="{02D57815-91ED-43cb-92C2-25804820EDAC}">
            <c15:filteredSurfaceSeries>
              <c15:ser>
                <c:idx val="0"/>
                <c:order val="0"/>
                <c:spPr>
                  <a:solidFill>
                    <a:schemeClr val="accent6">
                      <a:shade val="40000"/>
                    </a:schemeClr>
                  </a:solidFill>
                  <a:ln/>
                  <a:effectLst/>
                  <a:sp3d/>
                </c:spPr>
                <c:cat>
                  <c:numRef>
                    <c:extLst>
                      <c:ext xmlns:c16="http://schemas.microsoft.com/office/drawing/2014/chart" uri="{F5D05F6E-A05E-4728-AFD3-386EB277150F}">
                        <c16:filteredLitCache>
                          <c:numCache>
                            <c:formatCode>General</c:formatCode>
                            <c:ptCount val="1"/>
                            <c:pt idx="0">
                              <c:v>0</c:v>
                            </c:pt>
                          </c:numCache>
                        </c16:filteredLitCache>
                      </c:ext>
                    </c:extLst>
                    <c:f/>
                    <c:numCache>
                      <c:formatCode>General</c:formatCode>
                      <c:ptCount val="17"/>
                      <c:pt idx="0">
                        <c:v>60</c:v>
                      </c:pt>
                      <c:pt idx="1">
                        <c:v>65</c:v>
                      </c:pt>
                      <c:pt idx="2">
                        <c:v>70</c:v>
                      </c:pt>
                      <c:pt idx="3">
                        <c:v>75</c:v>
                      </c:pt>
                      <c:pt idx="4">
                        <c:v>80</c:v>
                      </c:pt>
                      <c:pt idx="5">
                        <c:v>85</c:v>
                      </c:pt>
                      <c:pt idx="6">
                        <c:v>70</c:v>
                      </c:pt>
                      <c:pt idx="7">
                        <c:v>95</c:v>
                      </c:pt>
                      <c:pt idx="8">
                        <c:v>100</c:v>
                      </c:pt>
                      <c:pt idx="9">
                        <c:v>105</c:v>
                      </c:pt>
                      <c:pt idx="10">
                        <c:v>110</c:v>
                      </c:pt>
                      <c:pt idx="11">
                        <c:v>115</c:v>
                      </c:pt>
                      <c:pt idx="12">
                        <c:v>120</c:v>
                      </c:pt>
                      <c:pt idx="13">
                        <c:v>125</c:v>
                      </c:pt>
                      <c:pt idx="14">
                        <c:v>130</c:v>
                      </c:pt>
                      <c:pt idx="15">
                        <c:v>135</c:v>
                      </c:pt>
                      <c:pt idx="16">
                        <c:v>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Sheet1!$B$8:$S$8</c15:sqref>
                        </c15:fullRef>
                        <c15:formulaRef>
                          <c15:sqref>Sheet1!$C$8:$S$8</c15:sqref>
                        </c15:formulaRef>
                      </c:ext>
                    </c:extLst>
                    <c:numCache>
                      <c:formatCode>"£"#,##0.00</c:formatCode>
                      <c:ptCount val="17"/>
                      <c:pt idx="0">
                        <c:v>60</c:v>
                      </c:pt>
                      <c:pt idx="1">
                        <c:v>65</c:v>
                      </c:pt>
                      <c:pt idx="2">
                        <c:v>70</c:v>
                      </c:pt>
                      <c:pt idx="3">
                        <c:v>75</c:v>
                      </c:pt>
                      <c:pt idx="4">
                        <c:v>80</c:v>
                      </c:pt>
                      <c:pt idx="5">
                        <c:v>85</c:v>
                      </c:pt>
                      <c:pt idx="6">
                        <c:v>90</c:v>
                      </c:pt>
                      <c:pt idx="7">
                        <c:v>95</c:v>
                      </c:pt>
                      <c:pt idx="8">
                        <c:v>100</c:v>
                      </c:pt>
                      <c:pt idx="9">
                        <c:v>105</c:v>
                      </c:pt>
                      <c:pt idx="10">
                        <c:v>110</c:v>
                      </c:pt>
                      <c:pt idx="11">
                        <c:v>115</c:v>
                      </c:pt>
                      <c:pt idx="12">
                        <c:v>120</c:v>
                      </c:pt>
                      <c:pt idx="13">
                        <c:v>125</c:v>
                      </c:pt>
                      <c:pt idx="14">
                        <c:v>130</c:v>
                      </c:pt>
                      <c:pt idx="15">
                        <c:v>135</c:v>
                      </c:pt>
                      <c:pt idx="16">
                        <c:v>140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CEB-48D9-B76F-EA0952F5AC08}"/>
                  </c:ext>
                </c:extLst>
              </c15:ser>
            </c15:filteredSurfaceSeries>
          </c:ext>
        </c:extLst>
      </c:surface3DChart>
      <c:catAx>
        <c:axId val="152067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Stock S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71312"/>
        <c:crosses val="autoZero"/>
        <c:auto val="1"/>
        <c:lblAlgn val="ctr"/>
        <c:lblOffset val="100"/>
        <c:noMultiLvlLbl val="0"/>
      </c:catAx>
      <c:valAx>
        <c:axId val="15206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Call</a:t>
                </a:r>
                <a:r>
                  <a:rPr lang="en-GB" u="sng" baseline="0"/>
                  <a:t> option (£)</a:t>
                </a:r>
                <a:endParaRPr lang="en-GB" u="sng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70832"/>
        <c:crosses val="autoZero"/>
        <c:crossBetween val="midCat"/>
      </c:valAx>
      <c:serAx>
        <c:axId val="109902232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Time</a:t>
                </a:r>
                <a:r>
                  <a:rPr lang="en-GB" u="sng" baseline="0"/>
                  <a:t> 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713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European</a:t>
            </a:r>
            <a:r>
              <a:rPr lang="en-GB" u="sng" baseline="0"/>
              <a:t> Put Option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10"/>
      <c:rAngAx val="0"/>
    </c:view3D>
    <c:floor>
      <c:thickness val="0"/>
      <c:spPr>
        <a:noFill/>
        <a:ln w="12700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1"/>
          <c:tx>
            <c:v>0</c:v>
          </c:tx>
          <c:spPr>
            <a:solidFill>
              <a:schemeClr val="accent4">
                <a:shade val="51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Sheet1!$B$24:$S$24</c15:sqref>
                  </c15:fullRef>
                </c:ext>
              </c:extLst>
              <c:f>Sheet1!$C$24:$S$24</c:f>
              <c:numCache>
                <c:formatCode>"£"#,##0.00</c:formatCode>
                <c:ptCount val="17"/>
                <c:pt idx="0">
                  <c:v>35.729406294988529</c:v>
                </c:pt>
                <c:pt idx="1">
                  <c:v>31.260210561034988</c:v>
                </c:pt>
                <c:pt idx="2">
                  <c:v>27.063548997345322</c:v>
                </c:pt>
                <c:pt idx="3">
                  <c:v>23.19025580447974</c:v>
                </c:pt>
                <c:pt idx="4">
                  <c:v>19.676161800136697</c:v>
                </c:pt>
                <c:pt idx="5">
                  <c:v>16.540002943190842</c:v>
                </c:pt>
                <c:pt idx="6">
                  <c:v>13.783997639927065</c:v>
                </c:pt>
                <c:pt idx="7">
                  <c:v>11.396266857919798</c:v>
                </c:pt>
                <c:pt idx="8">
                  <c:v>9.3541972360572387</c:v>
                </c:pt>
                <c:pt idx="9">
                  <c:v>7.6280018136528014</c:v>
                </c:pt>
                <c:pt idx="10">
                  <c:v>6.1839736426810781</c:v>
                </c:pt>
                <c:pt idx="11">
                  <c:v>4.9871608861462597</c:v>
                </c:pt>
                <c:pt idx="12">
                  <c:v>4.0033733821828683</c:v>
                </c:pt>
                <c:pt idx="13">
                  <c:v>3.200549587161138</c:v>
                </c:pt>
                <c:pt idx="14">
                  <c:v>2.5495771574532977</c:v>
                </c:pt>
                <c:pt idx="15">
                  <c:v>2.0246847798903698</c:v>
                </c:pt>
                <c:pt idx="16">
                  <c:v>1.6035218621529044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7-424D-9531-6FE9F3BFFF6B}"/>
            </c:ext>
          </c:extLst>
        </c:ser>
        <c:ser>
          <c:idx val="2"/>
          <c:order val="2"/>
          <c:tx>
            <c:v>0.1</c:v>
          </c:tx>
          <c:spPr>
            <a:solidFill>
              <a:schemeClr val="accent4">
                <a:shade val="62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Sheet1!$B$25:$S$25</c15:sqref>
                  </c15:fullRef>
                </c:ext>
              </c:extLst>
              <c:f>Sheet1!$C$25:$S$25</c:f>
              <c:numCache>
                <c:formatCode>"£"#,##0.00</c:formatCode>
                <c:ptCount val="17"/>
                <c:pt idx="0">
                  <c:v>36.055469184396017</c:v>
                </c:pt>
                <c:pt idx="1">
                  <c:v>31.500007839401498</c:v>
                </c:pt>
                <c:pt idx="2">
                  <c:v>27.202197390850095</c:v>
                </c:pt>
                <c:pt idx="3">
                  <c:v>23.221115617691638</c:v>
                </c:pt>
                <c:pt idx="4">
                  <c:v>19.601528289358221</c:v>
                </c:pt>
                <c:pt idx="5">
                  <c:v>16.37005260311259</c:v>
                </c:pt>
                <c:pt idx="6">
                  <c:v>13.534625419881593</c:v>
                </c:pt>
                <c:pt idx="7">
                  <c:v>11.086523893318883</c:v>
                </c:pt>
                <c:pt idx="8">
                  <c:v>9.0038934979040661</c:v>
                </c:pt>
                <c:pt idx="9">
                  <c:v>7.2558111898169173</c:v>
                </c:pt>
                <c:pt idx="10">
                  <c:v>5.8061667482736681</c:v>
                </c:pt>
                <c:pt idx="11">
                  <c:v>4.6169387016245622</c:v>
                </c:pt>
                <c:pt idx="12">
                  <c:v>3.6506900367608885</c:v>
                </c:pt>
                <c:pt idx="13">
                  <c:v>2.8722825701122119</c:v>
                </c:pt>
                <c:pt idx="14">
                  <c:v>2.2499090461302718</c:v>
                </c:pt>
                <c:pt idx="15">
                  <c:v>1.7555849451778229</c:v>
                </c:pt>
                <c:pt idx="16">
                  <c:v>1.3652469932163704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7-424D-9531-6FE9F3BFFF6B}"/>
            </c:ext>
          </c:extLst>
        </c:ser>
        <c:ser>
          <c:idx val="3"/>
          <c:order val="3"/>
          <c:tx>
            <c:v>0.2</c:v>
          </c:tx>
          <c:spPr>
            <a:solidFill>
              <a:schemeClr val="accent4">
                <a:shade val="7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Sheet1!$B$26:$S$26</c15:sqref>
                  </c15:fullRef>
                </c:ext>
              </c:extLst>
              <c:f>Sheet1!$C$26:$S$26</c:f>
              <c:numCache>
                <c:formatCode>"£"#,##0.00</c:formatCode>
                <c:ptCount val="17"/>
                <c:pt idx="0">
                  <c:v>36.402452650876775</c:v>
                </c:pt>
                <c:pt idx="1">
                  <c:v>31.76047642106397</c:v>
                </c:pt>
                <c:pt idx="2">
                  <c:v>27.356812088162705</c:v>
                </c:pt>
                <c:pt idx="3">
                  <c:v>23.259314390707033</c:v>
                </c:pt>
                <c:pt idx="4">
                  <c:v>19.523268050927946</c:v>
                </c:pt>
                <c:pt idx="5">
                  <c:v>16.185186534937031</c:v>
                </c:pt>
                <c:pt idx="6">
                  <c:v>13.260564418981311</c:v>
                </c:pt>
                <c:pt idx="7">
                  <c:v>10.745104925574573</c:v>
                </c:pt>
                <c:pt idx="8">
                  <c:v>8.6182795268490011</c:v>
                </c:pt>
                <c:pt idx="9">
                  <c:v>6.8479648193196709</c:v>
                </c:pt>
                <c:pt idx="10">
                  <c:v>5.3951344954295095</c:v>
                </c:pt>
                <c:pt idx="11">
                  <c:v>4.2179463118601994</c:v>
                </c:pt>
                <c:pt idx="12">
                  <c:v>3.2749090278850943</c:v>
                </c:pt>
                <c:pt idx="13">
                  <c:v>2.527072882912524</c:v>
                </c:pt>
                <c:pt idx="14">
                  <c:v>1.9393455512651876</c:v>
                </c:pt>
                <c:pt idx="15">
                  <c:v>1.4811095768079365</c:v>
                </c:pt>
                <c:pt idx="16">
                  <c:v>1.1263329347944815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47-424D-9531-6FE9F3BFFF6B}"/>
            </c:ext>
          </c:extLst>
        </c:ser>
        <c:ser>
          <c:idx val="4"/>
          <c:order val="4"/>
          <c:tx>
            <c:v>0.3</c:v>
          </c:tx>
          <c:spPr>
            <a:solidFill>
              <a:schemeClr val="accent4">
                <a:shade val="8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Sheet1!$B$27:$S$27</c15:sqref>
                  </c15:fullRef>
                </c:ext>
              </c:extLst>
              <c:f>Sheet1!$C$27:$S$27</c:f>
              <c:numCache>
                <c:formatCode>"£"#,##0.00</c:formatCode>
                <c:ptCount val="17"/>
                <c:pt idx="0">
                  <c:v>36.772787146973435</c:v>
                </c:pt>
                <c:pt idx="1">
                  <c:v>32.045735967003843</c:v>
                </c:pt>
                <c:pt idx="2">
                  <c:v>27.532156109179077</c:v>
                </c:pt>
                <c:pt idx="3">
                  <c:v>23.308759289558992</c:v>
                </c:pt>
                <c:pt idx="4">
                  <c:v>19.443101218065763</c:v>
                </c:pt>
                <c:pt idx="5">
                  <c:v>15.984245077895942</c:v>
                </c:pt>
                <c:pt idx="6">
                  <c:v>12.957872190729979</c:v>
                </c:pt>
                <c:pt idx="7">
                  <c:v>10.366029822647114</c:v>
                </c:pt>
                <c:pt idx="8">
                  <c:v>8.1904294676970437</c:v>
                </c:pt>
                <c:pt idx="9">
                  <c:v>6.3977124260634213</c:v>
                </c:pt>
                <c:pt idx="10">
                  <c:v>4.9452146798508601</c:v>
                </c:pt>
                <c:pt idx="11">
                  <c:v>3.7861900344069142</c:v>
                </c:pt>
                <c:pt idx="12">
                  <c:v>2.8739353343613985</c:v>
                </c:pt>
                <c:pt idx="13">
                  <c:v>2.1646578690615055</c:v>
                </c:pt>
                <c:pt idx="14">
                  <c:v>1.6191828198415834</c:v>
                </c:pt>
                <c:pt idx="15">
                  <c:v>1.2037274220158736</c:v>
                </c:pt>
                <c:pt idx="16">
                  <c:v>0.8900033420634994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47-424D-9531-6FE9F3BFFF6B}"/>
            </c:ext>
          </c:extLst>
        </c:ser>
        <c:ser>
          <c:idx val="5"/>
          <c:order val="5"/>
          <c:tx>
            <c:v>0.4</c:v>
          </c:tx>
          <c:spPr>
            <a:solidFill>
              <a:schemeClr val="accent4">
                <a:shade val="9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Sheet1!$B$28:$S$28</c15:sqref>
                  </c15:fullRef>
                </c:ext>
              </c:extLst>
              <c:f>Sheet1!$C$28:$S$28</c:f>
              <c:numCache>
                <c:formatCode>"£"#,##0.00</c:formatCode>
                <c:ptCount val="17"/>
                <c:pt idx="0">
                  <c:v>37.168736423731104</c:v>
                </c:pt>
                <c:pt idx="1">
                  <c:v>32.360671227218084</c:v>
                </c:pt>
                <c:pt idx="2">
                  <c:v>27.734641161618839</c:v>
                </c:pt>
                <c:pt idx="3">
                  <c:v>23.375292263170316</c:v>
                </c:pt>
                <c:pt idx="4">
                  <c:v>19.364148407863816</c:v>
                </c:pt>
                <c:pt idx="5">
                  <c:v>15.766311894858674</c:v>
                </c:pt>
                <c:pt idx="6">
                  <c:v>12.621524220403792</c:v>
                </c:pt>
                <c:pt idx="7">
                  <c:v>9.941203283160938</c:v>
                </c:pt>
                <c:pt idx="8">
                  <c:v>7.7108442578141592</c:v>
                </c:pt>
                <c:pt idx="9">
                  <c:v>5.8958962775509249</c:v>
                </c:pt>
                <c:pt idx="10">
                  <c:v>4.4489894293154038</c:v>
                </c:pt>
                <c:pt idx="11">
                  <c:v>3.3168281691065538</c:v>
                </c:pt>
                <c:pt idx="12">
                  <c:v>2.4457566866994327</c:v>
                </c:pt>
                <c:pt idx="13">
                  <c:v>1.7856348391504397</c:v>
                </c:pt>
                <c:pt idx="14">
                  <c:v>1.2921027010974608</c:v>
                </c:pt>
                <c:pt idx="15">
                  <c:v>0.92754317090816585</c:v>
                </c:pt>
                <c:pt idx="16">
                  <c:v>0.66112267180105722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47-424D-9531-6FE9F3BFFF6B}"/>
            </c:ext>
          </c:extLst>
        </c:ser>
        <c:ser>
          <c:idx val="6"/>
          <c:order val="6"/>
          <c:tx>
            <c:v>0.5</c:v>
          </c:tx>
          <c:spPr>
            <a:solidFill>
              <a:schemeClr val="accent4">
                <a:tint val="95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Sheet1!$B$29:$S$29</c15:sqref>
                  </c15:fullRef>
                </c:ext>
              </c:extLst>
              <c:f>Sheet1!$C$29:$S$29</c:f>
              <c:numCache>
                <c:formatCode>"£"#,##0.00</c:formatCode>
                <c:ptCount val="17"/>
                <c:pt idx="0">
                  <c:v>37.591857272756194</c:v>
                </c:pt>
                <c:pt idx="1">
                  <c:v>32.710758615219433</c:v>
                </c:pt>
                <c:pt idx="2">
                  <c:v>27.972894459825255</c:v>
                </c:pt>
                <c:pt idx="3">
                  <c:v>23.467857708633773</c:v>
                </c:pt>
                <c:pt idx="4">
                  <c:v>19.292109271067616</c:v>
                </c:pt>
                <c:pt idx="5">
                  <c:v>15.531258132873852</c:v>
                </c:pt>
                <c:pt idx="6">
                  <c:v>12.245005225061611</c:v>
                </c:pt>
                <c:pt idx="7">
                  <c:v>9.4591893766244368</c:v>
                </c:pt>
                <c:pt idx="8">
                  <c:v>7.1658678312824549</c:v>
                </c:pt>
                <c:pt idx="9">
                  <c:v>5.3295412986305379</c:v>
                </c:pt>
                <c:pt idx="10">
                  <c:v>3.8964423111960862</c:v>
                </c:pt>
                <c:pt idx="11">
                  <c:v>2.8040495488735111</c:v>
                </c:pt>
                <c:pt idx="12">
                  <c:v>1.9889723396138592</c:v>
                </c:pt>
                <c:pt idx="13">
                  <c:v>1.3924235761591621</c:v>
                </c:pt>
                <c:pt idx="14">
                  <c:v>0.96330387735543432</c:v>
                </c:pt>
                <c:pt idx="15">
                  <c:v>0.65936094055665428</c:v>
                </c:pt>
                <c:pt idx="16">
                  <c:v>0.44702832110906865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7-424D-9531-6FE9F3BFFF6B}"/>
            </c:ext>
          </c:extLst>
        </c:ser>
        <c:ser>
          <c:idx val="7"/>
          <c:order val="7"/>
          <c:tx>
            <c:v>0.6</c:v>
          </c:tx>
          <c:spPr>
            <a:solidFill>
              <a:schemeClr val="accent4">
                <a:tint val="8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Sheet1!$B$30:$S$30</c15:sqref>
                  </c15:fullRef>
                </c:ext>
              </c:extLst>
              <c:f>Sheet1!$C$30:$S$30</c:f>
              <c:numCache>
                <c:formatCode>"£"#,##0.00</c:formatCode>
                <c:ptCount val="17"/>
                <c:pt idx="0">
                  <c:v>38.041991350854204</c:v>
                </c:pt>
                <c:pt idx="1">
                  <c:v>33.101289355468559</c:v>
                </c:pt>
                <c:pt idx="2">
                  <c:v>28.258262974016915</c:v>
                </c:pt>
                <c:pt idx="3">
                  <c:v>23.600476685904312</c:v>
                </c:pt>
                <c:pt idx="4">
                  <c:v>19.237699206243562</c:v>
                </c:pt>
                <c:pt idx="5">
                  <c:v>15.281158484677114</c:v>
                </c:pt>
                <c:pt idx="6">
                  <c:v>11.819780722836185</c:v>
                </c:pt>
                <c:pt idx="7">
                  <c:v>8.9028895328655508</c:v>
                </c:pt>
                <c:pt idx="8">
                  <c:v>6.534571513393935</c:v>
                </c:pt>
                <c:pt idx="9">
                  <c:v>4.679165180191923</c:v>
                </c:pt>
                <c:pt idx="10">
                  <c:v>3.2735607151667878</c:v>
                </c:pt>
                <c:pt idx="11">
                  <c:v>2.2412280401072486</c:v>
                </c:pt>
                <c:pt idx="12">
                  <c:v>1.5042191135329208</c:v>
                </c:pt>
                <c:pt idx="13">
                  <c:v>0.9913853419550982</c:v>
                </c:pt>
                <c:pt idx="14">
                  <c:v>0.64269780308693925</c:v>
                </c:pt>
                <c:pt idx="15">
                  <c:v>0.41048450316398721</c:v>
                </c:pt>
                <c:pt idx="16">
                  <c:v>0.25868029114307323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47-424D-9531-6FE9F3BFFF6B}"/>
            </c:ext>
          </c:extLst>
        </c:ser>
        <c:ser>
          <c:idx val="8"/>
          <c:order val="8"/>
          <c:tx>
            <c:v>0.7</c:v>
          </c:tx>
          <c:spPr>
            <a:solidFill>
              <a:schemeClr val="accent4">
                <a:tint val="74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Sheet1!$B$31:$S$31</c15:sqref>
                  </c15:fullRef>
                </c:ext>
              </c:extLst>
              <c:f>Sheet1!$C$31:$S$31</c:f>
              <c:numCache>
                <c:formatCode>"£"#,##0.00</c:formatCode>
                <c:ptCount val="17"/>
                <c:pt idx="0">
                  <c:v>38.515718412183936</c:v>
                </c:pt>
                <c:pt idx="1">
                  <c:v>33.535101902013864</c:v>
                </c:pt>
                <c:pt idx="2">
                  <c:v>28.604362944168855</c:v>
                </c:pt>
                <c:pt idx="3">
                  <c:v>23.795386973766014</c:v>
                </c:pt>
                <c:pt idx="4">
                  <c:v>19.222064422220129</c:v>
                </c:pt>
                <c:pt idx="5">
                  <c:v>15.02432851295228</c:v>
                </c:pt>
                <c:pt idx="6">
                  <c:v>11.334939503100543</c:v>
                </c:pt>
                <c:pt idx="7">
                  <c:v>8.2446262454245058</c:v>
                </c:pt>
                <c:pt idx="8">
                  <c:v>5.7817770465876279</c:v>
                </c:pt>
                <c:pt idx="9">
                  <c:v>3.9130225144750241</c:v>
                </c:pt>
                <c:pt idx="10">
                  <c:v>2.5600017492799658</c:v>
                </c:pt>
                <c:pt idx="11">
                  <c:v>1.6223655497988254</c:v>
                </c:pt>
                <c:pt idx="12">
                  <c:v>0.99825754920453669</c:v>
                </c:pt>
                <c:pt idx="13">
                  <c:v>0.59781168196698165</c:v>
                </c:pt>
                <c:pt idx="14">
                  <c:v>0.34926098230294578</c:v>
                </c:pt>
                <c:pt idx="15">
                  <c:v>0.19952644077666859</c:v>
                </c:pt>
                <c:pt idx="16">
                  <c:v>0.11170277872588597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47-424D-9531-6FE9F3BFFF6B}"/>
            </c:ext>
          </c:extLst>
        </c:ser>
        <c:ser>
          <c:idx val="9"/>
          <c:order val="9"/>
          <c:tx>
            <c:v>0.8</c:v>
          </c:tx>
          <c:spPr>
            <a:solidFill>
              <a:schemeClr val="accent4">
                <a:tint val="63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Sheet1!$B$32:$S$32</c15:sqref>
                  </c15:fullRef>
                </c:ext>
              </c:extLst>
              <c:f>Sheet1!$C$32:$S$32</c:f>
              <c:numCache>
                <c:formatCode>"£"#,##0.00</c:formatCode>
                <c:ptCount val="17"/>
                <c:pt idx="0">
                  <c:v>39.005216516878967</c:v>
                </c:pt>
                <c:pt idx="1">
                  <c:v>34.007498756945893</c:v>
                </c:pt>
                <c:pt idx="2">
                  <c:v>29.022155721871059</c:v>
                </c:pt>
                <c:pt idx="3">
                  <c:v>24.086110432638677</c:v>
                </c:pt>
                <c:pt idx="4">
                  <c:v>19.289517823265356</c:v>
                </c:pt>
                <c:pt idx="5">
                  <c:v>14.788689414252943</c:v>
                </c:pt>
                <c:pt idx="6">
                  <c:v>10.779412158580612</c:v>
                </c:pt>
                <c:pt idx="7">
                  <c:v>7.4339357168397697</c:v>
                </c:pt>
                <c:pt idx="8">
                  <c:v>4.8389974263930711</c:v>
                </c:pt>
                <c:pt idx="9">
                  <c:v>2.9725396508975379</c:v>
                </c:pt>
                <c:pt idx="10">
                  <c:v>1.72589701175038</c:v>
                </c:pt>
                <c:pt idx="11">
                  <c:v>0.94976265090766532</c:v>
                </c:pt>
                <c:pt idx="12">
                  <c:v>0.49709293381796016</c:v>
                </c:pt>
                <c:pt idx="13">
                  <c:v>0.24839600281159591</c:v>
                </c:pt>
                <c:pt idx="14">
                  <c:v>0.11897086273959134</c:v>
                </c:pt>
                <c:pt idx="15">
                  <c:v>5.4827730456269652E-2</c:v>
                </c:pt>
                <c:pt idx="16">
                  <c:v>2.4401955353435922E-2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47-424D-9531-6FE9F3BFFF6B}"/>
            </c:ext>
          </c:extLst>
        </c:ser>
        <c:ser>
          <c:idx val="10"/>
          <c:order val="10"/>
          <c:tx>
            <c:v>0.9</c:v>
          </c:tx>
          <c:spPr>
            <a:solidFill>
              <a:schemeClr val="accent4">
                <a:tint val="52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Sheet1!$B$33:$S$33</c15:sqref>
                  </c15:fullRef>
                </c:ext>
              </c:extLst>
              <c:f>Sheet1!$C$33:$S$33</c:f>
              <c:numCache>
                <c:formatCode>"£"#,##0.00</c:formatCode>
                <c:ptCount val="17"/>
                <c:pt idx="0">
                  <c:v>39.501247981982978</c:v>
                </c:pt>
                <c:pt idx="1">
                  <c:v>34.501253525882674</c:v>
                </c:pt>
                <c:pt idx="2">
                  <c:v>29.501447071858806</c:v>
                </c:pt>
                <c:pt idx="3">
                  <c:v>24.504608378965671</c:v>
                </c:pt>
                <c:pt idx="4">
                  <c:v>19.532262785798551</c:v>
                </c:pt>
                <c:pt idx="5">
                  <c:v>14.676711157736278</c:v>
                </c:pt>
                <c:pt idx="6">
                  <c:v>10.169840008738291</c:v>
                </c:pt>
                <c:pt idx="7">
                  <c:v>6.3590309056110499</c:v>
                </c:pt>
                <c:pt idx="8">
                  <c:v>3.5297056619883165</c:v>
                </c:pt>
                <c:pt idx="9">
                  <c:v>1.724101290417611</c:v>
                </c:pt>
                <c:pt idx="10">
                  <c:v>0.73992007510847557</c:v>
                </c:pt>
                <c:pt idx="11">
                  <c:v>0.28003879593470771</c:v>
                </c:pt>
                <c:pt idx="12">
                  <c:v>9.4122892704691097E-2</c:v>
                </c:pt>
                <c:pt idx="13">
                  <c:v>2.8338954705090846E-2</c:v>
                </c:pt>
                <c:pt idx="14">
                  <c:v>7.7148469700895617E-3</c:v>
                </c:pt>
                <c:pt idx="15">
                  <c:v>1.9167388236708965E-3</c:v>
                </c:pt>
                <c:pt idx="16">
                  <c:v>4.3849249360743484E-4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47-424D-9531-6FE9F3BFFF6B}"/>
            </c:ext>
          </c:extLst>
        </c:ser>
        <c:ser>
          <c:idx val="11"/>
          <c:order val="11"/>
          <c:tx>
            <c:v>1</c:v>
          </c:tx>
          <c:spPr>
            <a:solidFill>
              <a:schemeClr val="accent4">
                <a:tint val="41000"/>
              </a:schemeClr>
            </a:solidFill>
            <a:ln/>
            <a:effectLst/>
            <a:sp3d/>
          </c:spP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70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Sheet1!$B$34:$S$34</c15:sqref>
                  </c15:fullRef>
                </c:ext>
              </c:extLst>
              <c:f>Sheet1!$C$34:$S$34</c:f>
              <c:numCache>
                <c:formatCode>"£"#,##0.00</c:formatCode>
                <c:ptCount val="17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47-424D-9531-6FE9F3BFFF6B}"/>
            </c:ext>
          </c:extLst>
        </c:ser>
        <c:bandFmts>
          <c:bandFmt>
            <c:idx val="1"/>
            <c:spPr>
              <a:solidFill>
                <a:schemeClr val="accent4">
                  <a:shade val="44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4">
                  <a:shade val="58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>
                  <a:shade val="72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4">
                  <a:shade val="86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4">
                  <a:tint val="86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4">
                  <a:tint val="72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4">
                  <a:tint val="58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tint val="44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4">
                  <a:tint val="3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4">
                  <a:tint val="16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4">
                  <a:tint val="2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4">
                  <a:tint val="88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4">
                  <a:tint val="74000"/>
                </a:schemeClr>
              </a:solidFill>
              <a:ln/>
              <a:effectLst/>
              <a:sp3d/>
            </c:spPr>
          </c:bandFmt>
          <c:bandFmt>
            <c:idx val="15"/>
            <c:spPr>
              <a:solidFill>
                <a:schemeClr val="accent4">
                  <a:tint val="60000"/>
                </a:schemeClr>
              </a:solidFill>
              <a:ln/>
              <a:effectLst/>
              <a:sp3d/>
            </c:spPr>
          </c:bandFmt>
        </c:bandFmts>
        <c:axId val="1583617776"/>
        <c:axId val="1583605296"/>
        <c:axId val="1523979360"/>
        <c:extLst>
          <c:ext xmlns:c15="http://schemas.microsoft.com/office/drawing/2012/chart" uri="{02D57815-91ED-43cb-92C2-25804820EDAC}">
            <c15:filteredSurfaceSeries>
              <c15:ser>
                <c:idx val="0"/>
                <c:order val="0"/>
                <c:spPr>
                  <a:solidFill>
                    <a:schemeClr val="accent4">
                      <a:shade val="40000"/>
                    </a:schemeClr>
                  </a:solidFill>
                  <a:ln/>
                  <a:effectLst/>
                  <a:sp3d/>
                </c:spPr>
                <c:cat>
                  <c:numRef>
                    <c:extLst>
                      <c:ext xmlns:c16="http://schemas.microsoft.com/office/drawing/2014/chart" uri="{F5D05F6E-A05E-4728-AFD3-386EB277150F}">
                        <c16:filteredLitCache>
                          <c:numCache>
                            <c:formatCode>General</c:formatCode>
                            <c:ptCount val="1"/>
                            <c:pt idx="0">
                              <c:v>0</c:v>
                            </c:pt>
                          </c:numCache>
                        </c16:filteredLitCache>
                      </c:ext>
                    </c:extLst>
                    <c:f/>
                    <c:numCache>
                      <c:formatCode>General</c:formatCode>
                      <c:ptCount val="17"/>
                      <c:pt idx="0">
                        <c:v>60</c:v>
                      </c:pt>
                      <c:pt idx="1">
                        <c:v>65</c:v>
                      </c:pt>
                      <c:pt idx="2">
                        <c:v>70</c:v>
                      </c:pt>
                      <c:pt idx="3">
                        <c:v>75</c:v>
                      </c:pt>
                      <c:pt idx="4">
                        <c:v>80</c:v>
                      </c:pt>
                      <c:pt idx="5">
                        <c:v>85</c:v>
                      </c:pt>
                      <c:pt idx="6">
                        <c:v>70</c:v>
                      </c:pt>
                      <c:pt idx="7">
                        <c:v>95</c:v>
                      </c:pt>
                      <c:pt idx="8">
                        <c:v>100</c:v>
                      </c:pt>
                      <c:pt idx="9">
                        <c:v>105</c:v>
                      </c:pt>
                      <c:pt idx="10">
                        <c:v>110</c:v>
                      </c:pt>
                      <c:pt idx="11">
                        <c:v>115</c:v>
                      </c:pt>
                      <c:pt idx="12">
                        <c:v>120</c:v>
                      </c:pt>
                      <c:pt idx="13">
                        <c:v>125</c:v>
                      </c:pt>
                      <c:pt idx="14">
                        <c:v>130</c:v>
                      </c:pt>
                      <c:pt idx="15">
                        <c:v>135</c:v>
                      </c:pt>
                      <c:pt idx="16">
                        <c:v>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Sheet1!$B$23:$S$23</c15:sqref>
                        </c15:fullRef>
                        <c15:formulaRef>
                          <c15:sqref>Sheet1!$C$23:$S$23</c15:sqref>
                        </c15:formulaRef>
                      </c:ext>
                    </c:extLst>
                    <c:numCache>
                      <c:formatCode>"£"#,##0.00</c:formatCode>
                      <c:ptCount val="17"/>
                      <c:pt idx="0">
                        <c:v>60</c:v>
                      </c:pt>
                      <c:pt idx="1">
                        <c:v>65</c:v>
                      </c:pt>
                      <c:pt idx="2">
                        <c:v>70</c:v>
                      </c:pt>
                      <c:pt idx="3">
                        <c:v>75</c:v>
                      </c:pt>
                      <c:pt idx="4">
                        <c:v>80</c:v>
                      </c:pt>
                      <c:pt idx="5">
                        <c:v>85</c:v>
                      </c:pt>
                      <c:pt idx="6">
                        <c:v>90</c:v>
                      </c:pt>
                      <c:pt idx="7">
                        <c:v>95</c:v>
                      </c:pt>
                      <c:pt idx="8">
                        <c:v>100</c:v>
                      </c:pt>
                      <c:pt idx="9">
                        <c:v>105</c:v>
                      </c:pt>
                      <c:pt idx="10">
                        <c:v>110</c:v>
                      </c:pt>
                      <c:pt idx="11">
                        <c:v>115</c:v>
                      </c:pt>
                      <c:pt idx="12">
                        <c:v>120</c:v>
                      </c:pt>
                      <c:pt idx="13">
                        <c:v>125</c:v>
                      </c:pt>
                      <c:pt idx="14">
                        <c:v>130</c:v>
                      </c:pt>
                      <c:pt idx="15">
                        <c:v>135</c:v>
                      </c:pt>
                      <c:pt idx="16">
                        <c:v>140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47-424D-9531-6FE9F3BFFF6B}"/>
                  </c:ext>
                </c:extLst>
              </c15:ser>
            </c15:filteredSurfaceSeries>
          </c:ext>
        </c:extLst>
      </c:surface3DChart>
      <c:catAx>
        <c:axId val="158361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Stock</a:t>
                </a:r>
                <a:r>
                  <a:rPr lang="en-GB" u="sng" baseline="0"/>
                  <a:t> S</a:t>
                </a:r>
                <a:endParaRPr lang="en-GB" u="sng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5296"/>
        <c:crosses val="autoZero"/>
        <c:auto val="1"/>
        <c:lblAlgn val="ctr"/>
        <c:lblOffset val="100"/>
        <c:noMultiLvlLbl val="0"/>
      </c:catAx>
      <c:valAx>
        <c:axId val="15836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European</a:t>
                </a:r>
                <a:r>
                  <a:rPr lang="en-GB" u="sng" baseline="0"/>
                  <a:t> Put 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17776"/>
        <c:crosses val="autoZero"/>
        <c:crossBetween val="midCat"/>
      </c:valAx>
      <c:serAx>
        <c:axId val="152397936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u="sng"/>
                  <a:t>Ti</a:t>
                </a:r>
                <a:r>
                  <a:rPr lang="en-GB" u="sng" baseline="0"/>
                  <a:t>me t</a:t>
                </a:r>
                <a:endParaRPr lang="en-GB" u="sng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52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1014412</xdr:colOff>
      <xdr:row>37</xdr:row>
      <xdr:rowOff>38100</xdr:rowOff>
    </xdr:from>
    <xdr:to>
      <xdr:col>11</xdr:col>
      <xdr:colOff>304800</xdr:colOff>
      <xdr:row>63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C195C-9FCD-F979-247E-33D7F7E14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585787</xdr:colOff>
      <xdr:row>36</xdr:row>
      <xdr:rowOff>180974</xdr:rowOff>
    </xdr:from>
    <xdr:to>
      <xdr:col>27</xdr:col>
      <xdr:colOff>257175</xdr:colOff>
      <xdr:row>63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54C121-3629-71E7-F6BA-88F841032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activeCell="H5" sqref="H5"/>
    </sheetView>
  </sheetViews>
  <sheetFormatPr baseColWidth="10" defaultColWidth="8.83203125" defaultRowHeight="15" x14ac:dyDescent="0.2"/>
  <cols>
    <col min="1" max="1" width="27.83203125" customWidth="1"/>
    <col min="2" max="2" width="37.5" customWidth="1"/>
    <col min="4" max="4" width="12.1640625" customWidth="1"/>
    <col min="5" max="5" width="15.1640625" bestFit="1" customWidth="1"/>
    <col min="6" max="6" width="14" customWidth="1"/>
  </cols>
  <sheetData>
    <row r="1" spans="1:19" ht="36" customHeight="1" x14ac:dyDescent="0.3">
      <c r="A1" s="8" t="s">
        <v>3</v>
      </c>
      <c r="B1" s="4"/>
    </row>
    <row r="2" spans="1:19" ht="36" customHeight="1" x14ac:dyDescent="0.2">
      <c r="A2" s="4" t="s">
        <v>1</v>
      </c>
      <c r="B2" s="2">
        <v>1</v>
      </c>
      <c r="C2" s="5"/>
      <c r="D2" s="6"/>
    </row>
    <row r="3" spans="1:19" ht="29" customHeight="1" x14ac:dyDescent="0.2">
      <c r="A3" s="4" t="s">
        <v>6</v>
      </c>
      <c r="B3" s="3">
        <v>0.3</v>
      </c>
    </row>
    <row r="4" spans="1:19" ht="31" customHeight="1" x14ac:dyDescent="0.2">
      <c r="A4" s="4" t="s">
        <v>2</v>
      </c>
      <c r="B4" s="3">
        <v>0.05</v>
      </c>
    </row>
    <row r="5" spans="1:19" ht="35" customHeight="1" x14ac:dyDescent="0.2">
      <c r="A5" s="4" t="s">
        <v>7</v>
      </c>
      <c r="B5" s="7">
        <v>100</v>
      </c>
    </row>
    <row r="6" spans="1:19" x14ac:dyDescent="0.2">
      <c r="B6" s="1"/>
    </row>
    <row r="7" spans="1:19" ht="35" customHeight="1" x14ac:dyDescent="0.3">
      <c r="B7" s="9" t="s">
        <v>4</v>
      </c>
    </row>
    <row r="8" spans="1:19" x14ac:dyDescent="0.2">
      <c r="B8" s="10" t="s">
        <v>0</v>
      </c>
      <c r="C8" s="14">
        <v>60</v>
      </c>
      <c r="D8" s="15">
        <v>65</v>
      </c>
      <c r="E8" s="15">
        <v>70</v>
      </c>
      <c r="F8" s="15">
        <v>75</v>
      </c>
      <c r="G8" s="15">
        <v>80</v>
      </c>
      <c r="H8" s="15">
        <v>85</v>
      </c>
      <c r="I8" s="15">
        <v>90</v>
      </c>
      <c r="J8" s="15">
        <v>95</v>
      </c>
      <c r="K8" s="15">
        <v>100</v>
      </c>
      <c r="L8" s="15">
        <v>105</v>
      </c>
      <c r="M8" s="15">
        <v>110</v>
      </c>
      <c r="N8" s="15">
        <v>115</v>
      </c>
      <c r="O8" s="15">
        <v>120</v>
      </c>
      <c r="P8" s="15">
        <v>125</v>
      </c>
      <c r="Q8" s="15">
        <v>130</v>
      </c>
      <c r="R8" s="15">
        <v>135</v>
      </c>
      <c r="S8" s="15">
        <v>140</v>
      </c>
    </row>
    <row r="9" spans="1:19" x14ac:dyDescent="0.2">
      <c r="B9" s="11">
        <v>0</v>
      </c>
      <c r="C9" s="23">
        <f xml:space="preserve"> IF(ABS($B$2 - $B9) &lt; 0.000001,
   MAX(C$8 - $B$5, 0),
   IFERROR(C$8 * NORMSDIST((LN(C$8 / $B$5) + ($B$4 + 0.5 * $B$3^2) * ($B$2 - $B9)) / ($B$3 * SQRT($B$2 - $B9)))
 - $B$5 * EXP(-$B$4 * ($B$2 - $B9)) * NORMSDIST((LN(C$8 / $B$5) + ($B$4 + 0.5 * $B$3^2) * ($B$2 - $B9)) / ($B$3 * SQRT($B$2 - $B9)) - $B$3 * SQRT($B$2 - $B9)),0))</f>
        <v>0.60646384491712535</v>
      </c>
      <c r="D9" s="23">
        <f t="shared" ref="D9:S19" si="0" xml:space="preserve"> IF(ABS($B$2 - $B9) &lt; 0.000001,
   MAX(D$8 - $B$5, 0),
   IFERROR(D$8 * NORMSDIST((LN(D$8 / $B$5) + ($B$4 + 0.5 * $B$3^2) * ($B$2 - $B9)) / ($B$3 * SQRT($B$2 - $B9)))
 - $B$5 * EXP(-$B$4 * ($B$2 - $B9)) * NORMSDIST((LN(D$8 / $B$5) + ($B$4 + 0.5 * $B$3^2) * ($B$2 - $B9)) / ($B$3 * SQRT($B$2 - $B9)) - $B$3 * SQRT($B$2 - $B9)),0))</f>
        <v>1.1372681109635803</v>
      </c>
      <c r="E9" s="23">
        <f t="shared" si="0"/>
        <v>1.9406065472739176</v>
      </c>
      <c r="F9" s="23">
        <f t="shared" si="0"/>
        <v>3.0673133544083484</v>
      </c>
      <c r="G9" s="23">
        <f t="shared" si="0"/>
        <v>4.553219350065298</v>
      </c>
      <c r="H9" s="23">
        <f t="shared" si="0"/>
        <v>6.4170604931194326</v>
      </c>
      <c r="I9" s="23">
        <f t="shared" si="0"/>
        <v>8.6610551898556665</v>
      </c>
      <c r="J9" s="23">
        <f t="shared" si="0"/>
        <v>11.273324407848392</v>
      </c>
      <c r="K9" s="23">
        <f t="shared" si="0"/>
        <v>14.231254785985819</v>
      </c>
      <c r="L9" s="23">
        <f t="shared" si="0"/>
        <v>17.505059363581395</v>
      </c>
      <c r="M9" s="23">
        <f t="shared" si="0"/>
        <v>21.061031192609683</v>
      </c>
      <c r="N9" s="23">
        <f t="shared" si="0"/>
        <v>24.864218436074864</v>
      </c>
      <c r="O9" s="23">
        <f t="shared" si="0"/>
        <v>28.88043093211148</v>
      </c>
      <c r="P9" s="23">
        <f t="shared" si="0"/>
        <v>33.077607137089743</v>
      </c>
      <c r="Q9" s="23">
        <f t="shared" si="0"/>
        <v>37.426634707381893</v>
      </c>
      <c r="R9" s="23">
        <f t="shared" si="0"/>
        <v>41.901742329818973</v>
      </c>
      <c r="S9" s="24">
        <f t="shared" si="0"/>
        <v>46.480579412081511</v>
      </c>
    </row>
    <row r="10" spans="1:19" x14ac:dyDescent="0.2">
      <c r="B10" s="12">
        <v>0.1</v>
      </c>
      <c r="C10" s="23">
        <f t="shared" ref="C10:C19" si="1" xml:space="preserve"> IF(ABS($B$2 - $B10) &lt; 0.000001,
   MAX(C$8 - $B$5, 0),
   IFERROR(C$8 * NORMSDIST((LN(C$8 / $B$5) + ($B$4 + 0.5 * $B$3^2) * ($B$2 - $B10)) / ($B$3 * SQRT($B$2 - $B10)))
 - $B$5 * EXP(-$B$4 * ($B$2 - $B10)) * NORMSDIST((LN(C$8 / $B$5) + ($B$4 + 0.5 * $B$3^2) * ($B$2 - $B10)) / ($B$3 * SQRT($B$2 - $B10)) - $B$3 * SQRT($B$2 - $B10)),0))</f>
        <v>0.4557210010860322</v>
      </c>
      <c r="D10" s="23">
        <f t="shared" si="0"/>
        <v>0.90025965609151548</v>
      </c>
      <c r="E10" s="23">
        <f t="shared" si="0"/>
        <v>1.6024492075401096</v>
      </c>
      <c r="F10" s="23">
        <f t="shared" si="0"/>
        <v>2.62136743438165</v>
      </c>
      <c r="G10" s="23">
        <f t="shared" si="0"/>
        <v>4.001780106048237</v>
      </c>
      <c r="H10" s="23">
        <f t="shared" si="0"/>
        <v>5.7703044198026063</v>
      </c>
      <c r="I10" s="23">
        <f t="shared" si="0"/>
        <v>7.9348772365716087</v>
      </c>
      <c r="J10" s="23">
        <f t="shared" si="0"/>
        <v>10.486775710008899</v>
      </c>
      <c r="K10" s="23">
        <f t="shared" si="0"/>
        <v>13.404145314594082</v>
      </c>
      <c r="L10" s="23">
        <f t="shared" si="0"/>
        <v>16.65606300650694</v>
      </c>
      <c r="M10" s="23">
        <f t="shared" si="0"/>
        <v>20.206418564963677</v>
      </c>
      <c r="N10" s="23">
        <f t="shared" si="0"/>
        <v>24.017190518314578</v>
      </c>
      <c r="O10" s="23">
        <f t="shared" si="0"/>
        <v>28.050941853450908</v>
      </c>
      <c r="P10" s="23">
        <f t="shared" si="0"/>
        <v>32.272534386802221</v>
      </c>
      <c r="Q10" s="23">
        <f t="shared" si="0"/>
        <v>36.650160862820286</v>
      </c>
      <c r="R10" s="23">
        <f t="shared" si="0"/>
        <v>41.155836761867846</v>
      </c>
      <c r="S10" s="24">
        <f t="shared" si="0"/>
        <v>45.76549880990639</v>
      </c>
    </row>
    <row r="11" spans="1:19" x14ac:dyDescent="0.2">
      <c r="B11" s="13">
        <v>0.2</v>
      </c>
      <c r="C11" s="23">
        <f t="shared" si="1"/>
        <v>0.32350873564446436</v>
      </c>
      <c r="D11" s="23">
        <f t="shared" si="0"/>
        <v>0.68153250583166525</v>
      </c>
      <c r="E11" s="23">
        <f t="shared" si="0"/>
        <v>1.2778681729303916</v>
      </c>
      <c r="F11" s="23">
        <f t="shared" si="0"/>
        <v>2.1803704754747173</v>
      </c>
      <c r="G11" s="23">
        <f t="shared" si="0"/>
        <v>3.4443241356956307</v>
      </c>
      <c r="H11" s="23">
        <f t="shared" si="0"/>
        <v>5.1062426197047159</v>
      </c>
      <c r="I11" s="23">
        <f t="shared" si="0"/>
        <v>7.1816205037489951</v>
      </c>
      <c r="J11" s="23">
        <f t="shared" si="0"/>
        <v>9.6661610103422504</v>
      </c>
      <c r="K11" s="23">
        <f t="shared" si="0"/>
        <v>12.539335611616693</v>
      </c>
      <c r="L11" s="23">
        <f t="shared" si="0"/>
        <v>15.769020904087363</v>
      </c>
      <c r="M11" s="23">
        <f t="shared" si="0"/>
        <v>19.316190580197208</v>
      </c>
      <c r="N11" s="23">
        <f t="shared" si="0"/>
        <v>23.139002396627873</v>
      </c>
      <c r="O11" s="23">
        <f t="shared" si="0"/>
        <v>27.195965112652786</v>
      </c>
      <c r="P11" s="23">
        <f t="shared" si="0"/>
        <v>31.448128967680219</v>
      </c>
      <c r="Q11" s="23">
        <f t="shared" si="0"/>
        <v>35.860401636032861</v>
      </c>
      <c r="R11" s="23">
        <f t="shared" si="0"/>
        <v>40.402165661575609</v>
      </c>
      <c r="S11" s="24">
        <f t="shared" si="0"/>
        <v>45.047389019562146</v>
      </c>
    </row>
    <row r="12" spans="1:19" x14ac:dyDescent="0.2">
      <c r="B12" s="13">
        <v>0.3</v>
      </c>
      <c r="C12" s="23">
        <f t="shared" si="1"/>
        <v>0.21224552121678819</v>
      </c>
      <c r="D12" s="23">
        <f t="shared" si="0"/>
        <v>0.48519434124720284</v>
      </c>
      <c r="E12" s="23">
        <f xml:space="preserve"> IF(ABS($B$2 - $B12) &lt; 0.000001,
   MAX(E$8 - $B$5, 0),
   IFERROR(E$8 * NORMSDIST((LN(E$8 / $B$5) + ($B$4 + 0.5 * $B$3^2) * ($B$2 - $B12)) / ($B$3 * SQRT($B$2 - $B12)))
 - $B$5 * EXP(-$B$4 * ($B$2 - $B12)) * NORMSDIST((LN(E$8 / $B$5) + ($B$4 + 0.5 * $B$3^2) * ($B$2 - $B12)) / ($B$3 * SQRT($B$2 - $B12)) - $B$3 * SQRT($B$2 - $B12)),0))</f>
        <v>0.97161448342244228</v>
      </c>
      <c r="F12" s="23">
        <f t="shared" si="0"/>
        <v>1.7482176638023432</v>
      </c>
      <c r="G12" s="23">
        <f t="shared" si="0"/>
        <v>2.8825595923091143</v>
      </c>
      <c r="H12" s="23">
        <f t="shared" si="0"/>
        <v>4.4237034521392964</v>
      </c>
      <c r="I12" s="23">
        <f t="shared" si="0"/>
        <v>6.3973305649733376</v>
      </c>
      <c r="J12" s="23">
        <f t="shared" si="0"/>
        <v>8.8054881968904795</v>
      </c>
      <c r="K12" s="23">
        <f t="shared" si="0"/>
        <v>11.629887841940395</v>
      </c>
      <c r="L12" s="23">
        <f t="shared" si="0"/>
        <v>14.837170800306787</v>
      </c>
      <c r="M12" s="23">
        <f t="shared" si="0"/>
        <v>18.384673054094222</v>
      </c>
      <c r="N12" s="23">
        <f t="shared" si="0"/>
        <v>22.225648408650272</v>
      </c>
      <c r="O12" s="23">
        <f t="shared" si="0"/>
        <v>26.313393708604764</v>
      </c>
      <c r="P12" s="23">
        <f t="shared" si="0"/>
        <v>30.604116243304858</v>
      </c>
      <c r="Q12" s="23">
        <f t="shared" si="0"/>
        <v>35.058641194084942</v>
      </c>
      <c r="R12" s="23">
        <f t="shared" si="0"/>
        <v>39.643185796259246</v>
      </c>
      <c r="S12" s="24">
        <f t="shared" si="0"/>
        <v>44.329461716306866</v>
      </c>
    </row>
    <row r="13" spans="1:19" x14ac:dyDescent="0.2">
      <c r="B13" s="13">
        <v>0.4</v>
      </c>
      <c r="C13" s="23">
        <f t="shared" si="1"/>
        <v>0.12418306888028385</v>
      </c>
      <c r="D13" s="23">
        <f t="shared" si="0"/>
        <v>0.31611787236726752</v>
      </c>
      <c r="E13" s="23">
        <f t="shared" si="0"/>
        <v>0.69008780676802139</v>
      </c>
      <c r="F13" s="23">
        <f t="shared" si="0"/>
        <v>1.3307389083195051</v>
      </c>
      <c r="G13" s="23">
        <f t="shared" si="0"/>
        <v>2.3195950530129892</v>
      </c>
      <c r="H13" s="23">
        <f t="shared" si="0"/>
        <v>3.7217585400078583</v>
      </c>
      <c r="I13" s="23">
        <f t="shared" si="0"/>
        <v>5.5769708655529726</v>
      </c>
      <c r="J13" s="23">
        <f t="shared" si="0"/>
        <v>7.8966499283101115</v>
      </c>
      <c r="K13" s="23">
        <f t="shared" si="0"/>
        <v>10.666290902963347</v>
      </c>
      <c r="L13" s="23">
        <f t="shared" si="0"/>
        <v>13.851342922700113</v>
      </c>
      <c r="M13" s="23">
        <f t="shared" si="0"/>
        <v>17.404436074464599</v>
      </c>
      <c r="N13" s="23">
        <f t="shared" si="0"/>
        <v>21.272274814255738</v>
      </c>
      <c r="O13" s="23">
        <f t="shared" si="0"/>
        <v>25.40120333184862</v>
      </c>
      <c r="P13" s="23">
        <f t="shared" si="0"/>
        <v>29.741081484299627</v>
      </c>
      <c r="Q13" s="23">
        <f t="shared" si="0"/>
        <v>34.247549346246629</v>
      </c>
      <c r="R13" s="23">
        <f t="shared" si="0"/>
        <v>38.882989816057346</v>
      </c>
      <c r="S13" s="24">
        <f t="shared" si="0"/>
        <v>43.616569316950233</v>
      </c>
    </row>
    <row r="14" spans="1:19" x14ac:dyDescent="0.2">
      <c r="B14" s="13">
        <v>0.5</v>
      </c>
      <c r="C14" s="23">
        <f t="shared" si="1"/>
        <v>6.0866069922924537E-2</v>
      </c>
      <c r="D14" s="23">
        <f t="shared" si="0"/>
        <v>0.17976741238616967</v>
      </c>
      <c r="E14" s="23">
        <f t="shared" si="0"/>
        <v>0.44190325699199295</v>
      </c>
      <c r="F14" s="23">
        <f t="shared" si="0"/>
        <v>0.93686650580050745</v>
      </c>
      <c r="G14" s="23">
        <f t="shared" si="0"/>
        <v>1.7611180682343548</v>
      </c>
      <c r="H14" s="23">
        <f t="shared" si="0"/>
        <v>3.000266930040592</v>
      </c>
      <c r="I14" s="23">
        <f t="shared" si="0"/>
        <v>4.7140140222283584</v>
      </c>
      <c r="J14" s="23">
        <f t="shared" si="0"/>
        <v>6.9281981737911806</v>
      </c>
      <c r="K14" s="23">
        <f t="shared" si="0"/>
        <v>9.6348766284491774</v>
      </c>
      <c r="L14" s="23">
        <f t="shared" si="0"/>
        <v>12.798550095797282</v>
      </c>
      <c r="M14" s="23">
        <f t="shared" si="0"/>
        <v>16.365451108362819</v>
      </c>
      <c r="N14" s="23">
        <f t="shared" si="0"/>
        <v>20.273058346040244</v>
      </c>
      <c r="O14" s="23">
        <f xml:space="preserve"> IF(ABS($B$2 - $B14) &lt; 0.000001,
   MAX(O$8 - $B$5, 0),
   IFERROR(O$8 * NORMSDIST((LN(O$8 / $B$5) + ($B$4 + 0.5 * $B$3^2) * ($B$2 - $B14)) / ($B$3 * SQRT($B$2 - $B14)))
 - $B$5 * EXP(-$B$4 * ($B$2 - $B14)) * NORMSDIST((LN(O$8 / $B$5) + ($B$4 + 0.5 * $B$3^2) * ($B$2 - $B14)) / ($B$3 * SQRT($B$2 - $B14)) - $B$3 * SQRT($B$2 - $B14)),0))</f>
        <v>24.457981136780603</v>
      </c>
      <c r="P14" s="23">
        <f t="shared" si="0"/>
        <v>28.861432373325883</v>
      </c>
      <c r="Q14" s="23">
        <f t="shared" si="0"/>
        <v>33.432312674522166</v>
      </c>
      <c r="R14" s="23">
        <f t="shared" si="0"/>
        <v>38.128369737723389</v>
      </c>
      <c r="S14" s="24">
        <f t="shared" si="0"/>
        <v>42.91603711827581</v>
      </c>
    </row>
    <row r="15" spans="1:19" x14ac:dyDescent="0.2">
      <c r="B15" s="13">
        <v>0.6</v>
      </c>
      <c r="C15" s="23">
        <f t="shared" si="1"/>
        <v>2.2124020178688253E-2</v>
      </c>
      <c r="D15" s="23">
        <f t="shared" si="0"/>
        <v>8.1422024793037728E-2</v>
      </c>
      <c r="E15" s="23">
        <f t="shared" si="0"/>
        <v>0.23839564334138874</v>
      </c>
      <c r="F15" s="23">
        <f t="shared" si="0"/>
        <v>0.5806093552287761</v>
      </c>
      <c r="G15" s="23">
        <f t="shared" si="0"/>
        <v>1.2178318755680326</v>
      </c>
      <c r="H15" s="23">
        <f t="shared" si="0"/>
        <v>2.2612911540015972</v>
      </c>
      <c r="I15" s="23">
        <f t="shared" si="0"/>
        <v>3.799913392160672</v>
      </c>
      <c r="J15" s="23">
        <f t="shared" si="0"/>
        <v>5.8830222021900269</v>
      </c>
      <c r="K15" s="23">
        <f t="shared" si="0"/>
        <v>8.514704182718404</v>
      </c>
      <c r="L15" s="23">
        <f t="shared" si="0"/>
        <v>11.659297849516399</v>
      </c>
      <c r="M15" s="23">
        <f t="shared" si="0"/>
        <v>15.253693384491257</v>
      </c>
      <c r="N15" s="23">
        <f t="shared" si="0"/>
        <v>19.221360709431721</v>
      </c>
      <c r="O15" s="23">
        <f t="shared" si="0"/>
        <v>23.484351782857402</v>
      </c>
      <c r="P15" s="23">
        <f t="shared" si="0"/>
        <v>27.971518011279571</v>
      </c>
      <c r="Q15" s="23">
        <f t="shared" si="0"/>
        <v>32.622830472411408</v>
      </c>
      <c r="R15" s="23">
        <f t="shared" si="0"/>
        <v>37.390617172488462</v>
      </c>
      <c r="S15" s="24">
        <f t="shared" si="0"/>
        <v>42.238812960467541</v>
      </c>
    </row>
    <row r="16" spans="1:19" x14ac:dyDescent="0.2">
      <c r="B16" s="13">
        <v>0.7</v>
      </c>
      <c r="C16" s="23">
        <f t="shared" si="1"/>
        <v>4.5244518776660081E-3</v>
      </c>
      <c r="D16" s="23">
        <f t="shared" si="0"/>
        <v>2.3907941707599523E-2</v>
      </c>
      <c r="E16" s="23">
        <f t="shared" si="0"/>
        <v>9.3168983862592203E-2</v>
      </c>
      <c r="F16" s="23">
        <f t="shared" si="0"/>
        <v>0.284193013459757</v>
      </c>
      <c r="G16" s="23">
        <f t="shared" si="0"/>
        <v>0.71087046191386705</v>
      </c>
      <c r="H16" s="23">
        <f t="shared" si="0"/>
        <v>1.5131345526460294</v>
      </c>
      <c r="I16" s="23">
        <f t="shared" si="0"/>
        <v>2.8237455427942884</v>
      </c>
      <c r="J16" s="23">
        <f t="shared" si="0"/>
        <v>4.7334322851182407</v>
      </c>
      <c r="K16" s="23">
        <f t="shared" si="0"/>
        <v>7.2705830862813769</v>
      </c>
      <c r="L16" s="23">
        <f t="shared" si="0"/>
        <v>10.401828554168766</v>
      </c>
      <c r="M16" s="23">
        <f t="shared" si="0"/>
        <v>14.048807788973718</v>
      </c>
      <c r="N16" s="23">
        <f t="shared" si="0"/>
        <v>18.111171589492571</v>
      </c>
      <c r="O16" s="23">
        <f t="shared" si="0"/>
        <v>22.487063588898295</v>
      </c>
      <c r="P16" s="23">
        <f t="shared" si="0"/>
        <v>27.08661772166073</v>
      </c>
      <c r="Q16" s="23">
        <f t="shared" si="0"/>
        <v>31.838067021996679</v>
      </c>
      <c r="R16" s="23">
        <f t="shared" si="0"/>
        <v>36.688332480470407</v>
      </c>
      <c r="S16" s="24">
        <f t="shared" si="0"/>
        <v>41.600508818419627</v>
      </c>
    </row>
    <row r="17" spans="2:19" x14ac:dyDescent="0.2">
      <c r="B17" s="13">
        <v>0.8</v>
      </c>
      <c r="C17" s="23">
        <f t="shared" si="1"/>
        <v>2.3314196216433353E-4</v>
      </c>
      <c r="D17" s="23">
        <f t="shared" si="0"/>
        <v>2.5153820290850087E-3</v>
      </c>
      <c r="E17" s="23">
        <f t="shared" si="0"/>
        <v>1.7172346954252127E-2</v>
      </c>
      <c r="F17" s="23">
        <f t="shared" si="0"/>
        <v>8.1127057721857243E-2</v>
      </c>
      <c r="G17" s="23">
        <f t="shared" si="0"/>
        <v>0.28453444834855102</v>
      </c>
      <c r="H17" s="23">
        <f t="shared" si="0"/>
        <v>0.78370603933614724</v>
      </c>
      <c r="I17" s="23">
        <f t="shared" si="0"/>
        <v>1.774428783663808</v>
      </c>
      <c r="J17" s="23">
        <f t="shared" si="0"/>
        <v>3.4289523419229653</v>
      </c>
      <c r="K17" s="23">
        <f t="shared" si="0"/>
        <v>5.8340140514762666</v>
      </c>
      <c r="L17" s="23">
        <f t="shared" si="0"/>
        <v>8.9675562759807264</v>
      </c>
      <c r="M17" s="23">
        <f t="shared" si="0"/>
        <v>12.720913636833572</v>
      </c>
      <c r="N17" s="23">
        <f t="shared" si="0"/>
        <v>16.944779275990854</v>
      </c>
      <c r="O17" s="23">
        <f t="shared" si="0"/>
        <v>21.492109558901149</v>
      </c>
      <c r="P17" s="23">
        <f t="shared" si="0"/>
        <v>26.243412627894784</v>
      </c>
      <c r="Q17" s="23">
        <f t="shared" si="0"/>
        <v>31.113987487822783</v>
      </c>
      <c r="R17" s="23">
        <f t="shared" si="0"/>
        <v>36.049844355539449</v>
      </c>
      <c r="S17" s="24">
        <f t="shared" si="0"/>
        <v>41.019418580436636</v>
      </c>
    </row>
    <row r="18" spans="2:19" x14ac:dyDescent="0.2">
      <c r="B18" s="13">
        <v>0.9</v>
      </c>
      <c r="C18" s="23">
        <f t="shared" si="1"/>
        <v>6.271474399894964E-8</v>
      </c>
      <c r="D18" s="23">
        <f t="shared" si="0"/>
        <v>5.6066144306384891E-6</v>
      </c>
      <c r="E18" s="23">
        <f t="shared" si="0"/>
        <v>1.9915259056938958E-4</v>
      </c>
      <c r="F18" s="23">
        <f t="shared" si="0"/>
        <v>3.3604596974408513E-3</v>
      </c>
      <c r="G18" s="23">
        <f t="shared" si="0"/>
        <v>3.1014866530303498E-2</v>
      </c>
      <c r="H18" s="23">
        <f t="shared" si="0"/>
        <v>0.17546323846804146</v>
      </c>
      <c r="I18" s="23">
        <f t="shared" si="0"/>
        <v>0.66859208947005655</v>
      </c>
      <c r="J18" s="23">
        <f t="shared" si="0"/>
        <v>1.8577829863428157</v>
      </c>
      <c r="K18" s="23">
        <f t="shared" si="0"/>
        <v>4.0284577427200716</v>
      </c>
      <c r="L18" s="23">
        <f t="shared" si="0"/>
        <v>7.2228533711493839</v>
      </c>
      <c r="M18" s="23">
        <f t="shared" si="0"/>
        <v>11.238672155840234</v>
      </c>
      <c r="N18" s="23">
        <f t="shared" si="0"/>
        <v>15.778790876666477</v>
      </c>
      <c r="O18" s="23">
        <f t="shared" si="0"/>
        <v>20.592874973436452</v>
      </c>
      <c r="P18" s="23">
        <f xml:space="preserve"> IF(ABS($B$2 - $B18) &lt; 0.000001,
   MAX(P$8 - $B$5, 0),
   IFERROR(P$8 * NORMSDIST((LN(P$8 / $B$5) + ($B$4 + 0.5 * $B$3^2) * ($B$2 - $B18)) / ($B$3 * SQRT($B$2 - $B18)))
 - $B$5 * EXP(-$B$4 * ($B$2 - $B18)) * NORMSDIST((LN(P$8 / $B$5) + ($B$4 + 0.5 * $B$3^2) * ($B$2 - $B18)) / ($B$3 * SQRT($B$2 - $B18)) - $B$3 * SQRT($B$2 - $B18)),0))</f>
        <v>25.527091035436854</v>
      </c>
      <c r="Q18" s="23">
        <f t="shared" si="0"/>
        <v>30.506466927701837</v>
      </c>
      <c r="R18" s="23">
        <f xml:space="preserve"> IF(ABS($B$2 - $B18) &lt; 0.000001,
   MAX(R$8 - $B$5, 0),
   IFERROR(R$8 * NORMSDIST((LN(R$8 / $B$5) + ($B$4 + 0.5 * $B$3^2) * ($B$2 - $B18)) / ($B$3 * SQRT($B$2 - $B18)))
 - $B$5 * EXP(-$B$4 * ($B$2 - $B18)) * NORMSDIST((LN(R$8 / $B$5) + ($B$4 + 0.5 * $B$3^2) * ($B$2 - $B18)) / ($B$3 * SQRT($B$2 - $B18)) - $B$3 * SQRT($B$2 - $B18)),0))</f>
        <v>35.500668819555429</v>
      </c>
      <c r="S18" s="24">
        <f t="shared" si="0"/>
        <v>40.499190573225363</v>
      </c>
    </row>
    <row r="19" spans="2:19" x14ac:dyDescent="0.2">
      <c r="B19" s="13">
        <v>1</v>
      </c>
      <c r="C19" s="25">
        <f t="shared" si="1"/>
        <v>0</v>
      </c>
      <c r="D19" s="25">
        <f t="shared" si="0"/>
        <v>0</v>
      </c>
      <c r="E19" s="25">
        <f t="shared" si="0"/>
        <v>0</v>
      </c>
      <c r="F19" s="25">
        <f t="shared" si="0"/>
        <v>0</v>
      </c>
      <c r="G19" s="25">
        <f t="shared" si="0"/>
        <v>0</v>
      </c>
      <c r="H19" s="25">
        <f t="shared" si="0"/>
        <v>0</v>
      </c>
      <c r="I19" s="25">
        <f t="shared" si="0"/>
        <v>0</v>
      </c>
      <c r="J19" s="25">
        <f t="shared" si="0"/>
        <v>0</v>
      </c>
      <c r="K19" s="25">
        <f t="shared" si="0"/>
        <v>0</v>
      </c>
      <c r="L19" s="25">
        <f t="shared" si="0"/>
        <v>5</v>
      </c>
      <c r="M19" s="25">
        <f t="shared" si="0"/>
        <v>10</v>
      </c>
      <c r="N19" s="25">
        <f t="shared" si="0"/>
        <v>15</v>
      </c>
      <c r="O19" s="25">
        <f t="shared" si="0"/>
        <v>20</v>
      </c>
      <c r="P19" s="25">
        <f xml:space="preserve"> IF(ABS($B$2 - $B19) &lt; 0.000001,
   MAX(P$8 - $B$5, 0),
   IFERROR(P$8 * NORMSDIST((LN(P$8 / $B$5) + ($B$4 + 0.5 * $B$3^2) * ($B$2 - $B19)) / ($B$3 * SQRT($B$2 - $B19)))
 - $B$5 * EXP(-$B$4 * ($B$2 - $B19)) * NORMSDIST((LN(P$8 / $B$5) + ($B$4 + 0.5 * $B$3^2) * ($B$2 - $B19)) / ($B$3 * SQRT($B$2 - $B19)) - $B$3 * SQRT($B$2 - $B19)),0))</f>
        <v>25</v>
      </c>
      <c r="Q19" s="25">
        <f t="shared" si="0"/>
        <v>30</v>
      </c>
      <c r="R19" s="25">
        <f xml:space="preserve"> IF(ABS($B$2 - $B19) &lt; 0.000001,
   MAX(R$8 - $B$5, 0),
   IFERROR(R$8 * NORMSDIST((LN(R$8 / $B$5) + ($B$4 + 0.5 * $B$3^2) * ($B$2 - $B19)) / ($B$3 * SQRT($B$2 - $B19)))
 - $B$5 * EXP(-$B$4 * ($B$2 - $B19)) * NORMSDIST((LN(R$8 / $B$5) + ($B$4 + 0.5 * $B$3^2) * ($B$2 - $B19)) / ($B$3 * SQRT($B$2 - $B19)) - $B$3 * SQRT($B$2 - $B19)),0))</f>
        <v>35</v>
      </c>
      <c r="S19" s="26">
        <f t="shared" si="0"/>
        <v>40</v>
      </c>
    </row>
    <row r="21" spans="2:19" ht="22" customHeight="1" x14ac:dyDescent="0.2"/>
    <row r="22" spans="2:19" ht="39" customHeight="1" x14ac:dyDescent="0.3">
      <c r="B22" s="16" t="s">
        <v>5</v>
      </c>
    </row>
    <row r="23" spans="2:19" x14ac:dyDescent="0.2">
      <c r="B23" s="17" t="s">
        <v>0</v>
      </c>
      <c r="C23" s="21">
        <v>60</v>
      </c>
      <c r="D23" s="22">
        <v>65</v>
      </c>
      <c r="E23" s="22">
        <v>70</v>
      </c>
      <c r="F23" s="22">
        <v>75</v>
      </c>
      <c r="G23" s="22">
        <v>80</v>
      </c>
      <c r="H23" s="22">
        <v>85</v>
      </c>
      <c r="I23" s="22">
        <v>90</v>
      </c>
      <c r="J23" s="22">
        <v>95</v>
      </c>
      <c r="K23" s="22">
        <v>100</v>
      </c>
      <c r="L23" s="22">
        <v>105</v>
      </c>
      <c r="M23" s="22">
        <v>110</v>
      </c>
      <c r="N23" s="22">
        <v>115</v>
      </c>
      <c r="O23" s="22">
        <v>120</v>
      </c>
      <c r="P23" s="22">
        <v>125</v>
      </c>
      <c r="Q23" s="22">
        <v>130</v>
      </c>
      <c r="R23" s="22">
        <v>135</v>
      </c>
      <c r="S23" s="22">
        <v>140</v>
      </c>
    </row>
    <row r="24" spans="2:19" x14ac:dyDescent="0.2">
      <c r="B24" s="18">
        <v>0</v>
      </c>
      <c r="C24" s="23">
        <f xml:space="preserve"> IF(ABS($B$2- $B24) &lt; 0.000001,
   MAX($B$5-C$23, 0),
   IFERROR($B$5 * EXP(-$B$4 * ($B$2 - $B24)) * NORMSDIST(-(LN(C$23 / $B$5) + ($B$4 + 0.5 * $B$3^2) * ($B$2 - $B24)) / ($B$3 * SQRT($B$2 - $B24)) + $B$3 * SQRT($B$2 - $B24))
 - C$23 * NORMSDIST(-(LN(C$23 / $B$5) + ($B$4 + 0.5 * $B$3^2) * ($B$2 - $B24)) / ($B$3 * SQRT($B$2 - $B24))),0))</f>
        <v>35.729406294988529</v>
      </c>
      <c r="D24" s="23">
        <f t="shared" ref="D24:S34" si="2" xml:space="preserve"> IF(ABS($B$2- $B24) &lt; 0.000001,
   MAX($B$5-D$23, 0),
   IFERROR($B$5 * EXP(-$B$4 * ($B$2 - $B24)) * NORMSDIST(-(LN(D$23 / $B$5) + ($B$4 + 0.5 * $B$3^2) * ($B$2 - $B24)) / ($B$3 * SQRT($B$2 - $B24)) + $B$3 * SQRT($B$2 - $B24))
 - D$23 * NORMSDIST(-(LN(D$23 / $B$5) + ($B$4 + 0.5 * $B$3^2) * ($B$2 - $B24)) / ($B$3 * SQRT($B$2 - $B24))),0))</f>
        <v>31.260210561034988</v>
      </c>
      <c r="E24" s="23">
        <f t="shared" si="2"/>
        <v>27.063548997345322</v>
      </c>
      <c r="F24" s="23">
        <f t="shared" si="2"/>
        <v>23.19025580447974</v>
      </c>
      <c r="G24" s="23">
        <f t="shared" si="2"/>
        <v>19.676161800136697</v>
      </c>
      <c r="H24" s="23">
        <f t="shared" si="2"/>
        <v>16.540002943190842</v>
      </c>
      <c r="I24" s="23">
        <f t="shared" si="2"/>
        <v>13.783997639927065</v>
      </c>
      <c r="J24" s="23">
        <f t="shared" si="2"/>
        <v>11.396266857919798</v>
      </c>
      <c r="K24" s="23">
        <f t="shared" si="2"/>
        <v>9.3541972360572387</v>
      </c>
      <c r="L24" s="23">
        <f t="shared" si="2"/>
        <v>7.6280018136528014</v>
      </c>
      <c r="M24" s="23">
        <f t="shared" si="2"/>
        <v>6.1839736426810781</v>
      </c>
      <c r="N24" s="23">
        <f t="shared" si="2"/>
        <v>4.9871608861462597</v>
      </c>
      <c r="O24" s="23">
        <f t="shared" si="2"/>
        <v>4.0033733821828683</v>
      </c>
      <c r="P24" s="23">
        <f t="shared" si="2"/>
        <v>3.200549587161138</v>
      </c>
      <c r="Q24" s="23">
        <f t="shared" si="2"/>
        <v>2.5495771574532977</v>
      </c>
      <c r="R24" s="23">
        <f t="shared" si="2"/>
        <v>2.0246847798903698</v>
      </c>
      <c r="S24" s="24">
        <f t="shared" si="2"/>
        <v>1.6035218621529044</v>
      </c>
    </row>
    <row r="25" spans="2:19" x14ac:dyDescent="0.2">
      <c r="B25" s="19">
        <v>0.1</v>
      </c>
      <c r="C25" s="23">
        <f t="shared" ref="C25:C34" si="3" xml:space="preserve"> IF(ABS($B$2- $B25) &lt; 0.000001,
   MAX($B$5-C$23, 0),
   IFERROR($B$5 * EXP(-$B$4 * ($B$2 - $B25)) * NORMSDIST(-(LN(C$23 / $B$5) + ($B$4 + 0.5 * $B$3^2) * ($B$2 - $B25)) / ($B$3 * SQRT($B$2 - $B25)) + $B$3 * SQRT($B$2 - $B25))
 - C$23 * NORMSDIST(-(LN(C$23 / $B$5) + ($B$4 + 0.5 * $B$3^2) * ($B$2 - $B25)) / ($B$3 * SQRT($B$2 - $B25))),0))</f>
        <v>36.055469184396017</v>
      </c>
      <c r="D25" s="23">
        <f t="shared" si="2"/>
        <v>31.500007839401498</v>
      </c>
      <c r="E25" s="23">
        <f t="shared" si="2"/>
        <v>27.202197390850095</v>
      </c>
      <c r="F25" s="23">
        <f t="shared" si="2"/>
        <v>23.221115617691638</v>
      </c>
      <c r="G25" s="23">
        <f t="shared" si="2"/>
        <v>19.601528289358221</v>
      </c>
      <c r="H25" s="23">
        <f t="shared" si="2"/>
        <v>16.37005260311259</v>
      </c>
      <c r="I25" s="23">
        <f t="shared" si="2"/>
        <v>13.534625419881593</v>
      </c>
      <c r="J25" s="23">
        <f t="shared" si="2"/>
        <v>11.086523893318883</v>
      </c>
      <c r="K25" s="23">
        <f t="shared" si="2"/>
        <v>9.0038934979040661</v>
      </c>
      <c r="L25" s="23">
        <f t="shared" si="2"/>
        <v>7.2558111898169173</v>
      </c>
      <c r="M25" s="23">
        <f t="shared" si="2"/>
        <v>5.8061667482736681</v>
      </c>
      <c r="N25" s="23">
        <f t="shared" si="2"/>
        <v>4.6169387016245622</v>
      </c>
      <c r="O25" s="23">
        <f t="shared" si="2"/>
        <v>3.6506900367608885</v>
      </c>
      <c r="P25" s="23">
        <f t="shared" si="2"/>
        <v>2.8722825701122119</v>
      </c>
      <c r="Q25" s="23">
        <f t="shared" si="2"/>
        <v>2.2499090461302718</v>
      </c>
      <c r="R25" s="23">
        <f t="shared" si="2"/>
        <v>1.7555849451778229</v>
      </c>
      <c r="S25" s="24">
        <f t="shared" si="2"/>
        <v>1.3652469932163704</v>
      </c>
    </row>
    <row r="26" spans="2:19" x14ac:dyDescent="0.2">
      <c r="B26" s="20">
        <v>0.2</v>
      </c>
      <c r="C26" s="23">
        <f t="shared" si="3"/>
        <v>36.402452650876775</v>
      </c>
      <c r="D26" s="23">
        <f t="shared" si="2"/>
        <v>31.76047642106397</v>
      </c>
      <c r="E26" s="23">
        <f t="shared" si="2"/>
        <v>27.356812088162705</v>
      </c>
      <c r="F26" s="23">
        <f t="shared" si="2"/>
        <v>23.259314390707033</v>
      </c>
      <c r="G26" s="23">
        <f t="shared" si="2"/>
        <v>19.523268050927946</v>
      </c>
      <c r="H26" s="23">
        <f t="shared" si="2"/>
        <v>16.185186534937031</v>
      </c>
      <c r="I26" s="23">
        <f t="shared" si="2"/>
        <v>13.260564418981311</v>
      </c>
      <c r="J26" s="23">
        <f t="shared" si="2"/>
        <v>10.745104925574573</v>
      </c>
      <c r="K26" s="23">
        <f t="shared" si="2"/>
        <v>8.6182795268490011</v>
      </c>
      <c r="L26" s="23">
        <f t="shared" si="2"/>
        <v>6.8479648193196709</v>
      </c>
      <c r="M26" s="23">
        <f t="shared" si="2"/>
        <v>5.3951344954295095</v>
      </c>
      <c r="N26" s="23">
        <f t="shared" si="2"/>
        <v>4.2179463118601994</v>
      </c>
      <c r="O26" s="23">
        <f t="shared" si="2"/>
        <v>3.2749090278850943</v>
      </c>
      <c r="P26" s="23">
        <f t="shared" si="2"/>
        <v>2.527072882912524</v>
      </c>
      <c r="Q26" s="23">
        <f t="shared" si="2"/>
        <v>1.9393455512651876</v>
      </c>
      <c r="R26" s="23">
        <f t="shared" si="2"/>
        <v>1.4811095768079365</v>
      </c>
      <c r="S26" s="24">
        <f t="shared" si="2"/>
        <v>1.1263329347944815</v>
      </c>
    </row>
    <row r="27" spans="2:19" x14ac:dyDescent="0.2">
      <c r="B27" s="20">
        <v>0.3</v>
      </c>
      <c r="C27" s="23">
        <f t="shared" si="3"/>
        <v>36.772787146973435</v>
      </c>
      <c r="D27" s="23">
        <f t="shared" si="2"/>
        <v>32.045735967003843</v>
      </c>
      <c r="E27" s="23">
        <f t="shared" si="2"/>
        <v>27.532156109179077</v>
      </c>
      <c r="F27" s="23">
        <f t="shared" si="2"/>
        <v>23.308759289558992</v>
      </c>
      <c r="G27" s="23">
        <f t="shared" si="2"/>
        <v>19.443101218065763</v>
      </c>
      <c r="H27" s="23">
        <f t="shared" si="2"/>
        <v>15.984245077895942</v>
      </c>
      <c r="I27" s="23">
        <f t="shared" si="2"/>
        <v>12.957872190729979</v>
      </c>
      <c r="J27" s="23">
        <f t="shared" si="2"/>
        <v>10.366029822647114</v>
      </c>
      <c r="K27" s="23">
        <f t="shared" si="2"/>
        <v>8.1904294676970437</v>
      </c>
      <c r="L27" s="23">
        <f t="shared" si="2"/>
        <v>6.3977124260634213</v>
      </c>
      <c r="M27" s="23">
        <f t="shared" si="2"/>
        <v>4.9452146798508601</v>
      </c>
      <c r="N27" s="23">
        <f t="shared" si="2"/>
        <v>3.7861900344069142</v>
      </c>
      <c r="O27" s="23">
        <f t="shared" si="2"/>
        <v>2.8739353343613985</v>
      </c>
      <c r="P27" s="23">
        <f t="shared" si="2"/>
        <v>2.1646578690615055</v>
      </c>
      <c r="Q27" s="23">
        <f t="shared" si="2"/>
        <v>1.6191828198415834</v>
      </c>
      <c r="R27" s="23">
        <f t="shared" si="2"/>
        <v>1.2037274220158736</v>
      </c>
      <c r="S27" s="24">
        <f t="shared" si="2"/>
        <v>0.8900033420634994</v>
      </c>
    </row>
    <row r="28" spans="2:19" x14ac:dyDescent="0.2">
      <c r="B28" s="20">
        <v>0.4</v>
      </c>
      <c r="C28" s="23">
        <f t="shared" si="3"/>
        <v>37.168736423731104</v>
      </c>
      <c r="D28" s="23">
        <f t="shared" si="2"/>
        <v>32.360671227218084</v>
      </c>
      <c r="E28" s="23">
        <f t="shared" si="2"/>
        <v>27.734641161618839</v>
      </c>
      <c r="F28" s="23">
        <f t="shared" si="2"/>
        <v>23.375292263170316</v>
      </c>
      <c r="G28" s="23">
        <f t="shared" si="2"/>
        <v>19.364148407863816</v>
      </c>
      <c r="H28" s="23">
        <f t="shared" si="2"/>
        <v>15.766311894858674</v>
      </c>
      <c r="I28" s="23">
        <f t="shared" si="2"/>
        <v>12.621524220403792</v>
      </c>
      <c r="J28" s="23">
        <f t="shared" si="2"/>
        <v>9.941203283160938</v>
      </c>
      <c r="K28" s="23">
        <f t="shared" si="2"/>
        <v>7.7108442578141592</v>
      </c>
      <c r="L28" s="23">
        <f t="shared" si="2"/>
        <v>5.8958962775509249</v>
      </c>
      <c r="M28" s="23">
        <f t="shared" si="2"/>
        <v>4.4489894293154038</v>
      </c>
      <c r="N28" s="23">
        <f t="shared" si="2"/>
        <v>3.3168281691065538</v>
      </c>
      <c r="O28" s="23">
        <f t="shared" si="2"/>
        <v>2.4457566866994327</v>
      </c>
      <c r="P28" s="23">
        <f t="shared" si="2"/>
        <v>1.7856348391504397</v>
      </c>
      <c r="Q28" s="23">
        <f t="shared" si="2"/>
        <v>1.2921027010974608</v>
      </c>
      <c r="R28" s="23">
        <f t="shared" si="2"/>
        <v>0.92754317090816585</v>
      </c>
      <c r="S28" s="24">
        <f t="shared" si="2"/>
        <v>0.66112267180105722</v>
      </c>
    </row>
    <row r="29" spans="2:19" x14ac:dyDescent="0.2">
      <c r="B29" s="20">
        <v>0.5</v>
      </c>
      <c r="C29" s="23">
        <f t="shared" si="3"/>
        <v>37.591857272756194</v>
      </c>
      <c r="D29" s="23">
        <f t="shared" si="2"/>
        <v>32.710758615219433</v>
      </c>
      <c r="E29" s="23">
        <f t="shared" si="2"/>
        <v>27.972894459825255</v>
      </c>
      <c r="F29" s="23">
        <f t="shared" si="2"/>
        <v>23.467857708633773</v>
      </c>
      <c r="G29" s="23">
        <f t="shared" si="2"/>
        <v>19.292109271067616</v>
      </c>
      <c r="H29" s="23">
        <f t="shared" si="2"/>
        <v>15.531258132873852</v>
      </c>
      <c r="I29" s="23">
        <f t="shared" si="2"/>
        <v>12.245005225061611</v>
      </c>
      <c r="J29" s="23">
        <f t="shared" si="2"/>
        <v>9.4591893766244368</v>
      </c>
      <c r="K29" s="23">
        <f t="shared" si="2"/>
        <v>7.1658678312824549</v>
      </c>
      <c r="L29" s="23">
        <f t="shared" si="2"/>
        <v>5.3295412986305379</v>
      </c>
      <c r="M29" s="23">
        <f t="shared" si="2"/>
        <v>3.8964423111960862</v>
      </c>
      <c r="N29" s="23">
        <f t="shared" si="2"/>
        <v>2.8040495488735111</v>
      </c>
      <c r="O29" s="23">
        <f t="shared" si="2"/>
        <v>1.9889723396138592</v>
      </c>
      <c r="P29" s="23">
        <f t="shared" si="2"/>
        <v>1.3924235761591621</v>
      </c>
      <c r="Q29" s="23">
        <f t="shared" si="2"/>
        <v>0.96330387735543432</v>
      </c>
      <c r="R29" s="23">
        <f t="shared" si="2"/>
        <v>0.65936094055665428</v>
      </c>
      <c r="S29" s="24">
        <f t="shared" si="2"/>
        <v>0.44702832110906865</v>
      </c>
    </row>
    <row r="30" spans="2:19" x14ac:dyDescent="0.2">
      <c r="B30" s="20">
        <v>0.6</v>
      </c>
      <c r="C30" s="23">
        <f t="shared" si="3"/>
        <v>38.041991350854204</v>
      </c>
      <c r="D30" s="23">
        <f t="shared" si="2"/>
        <v>33.101289355468559</v>
      </c>
      <c r="E30" s="23">
        <f t="shared" si="2"/>
        <v>28.258262974016915</v>
      </c>
      <c r="F30" s="23">
        <f t="shared" si="2"/>
        <v>23.600476685904312</v>
      </c>
      <c r="G30" s="23">
        <f t="shared" si="2"/>
        <v>19.237699206243562</v>
      </c>
      <c r="H30" s="23">
        <f t="shared" si="2"/>
        <v>15.281158484677114</v>
      </c>
      <c r="I30" s="23">
        <f t="shared" si="2"/>
        <v>11.819780722836185</v>
      </c>
      <c r="J30" s="23">
        <f t="shared" si="2"/>
        <v>8.9028895328655508</v>
      </c>
      <c r="K30" s="23">
        <f t="shared" si="2"/>
        <v>6.534571513393935</v>
      </c>
      <c r="L30" s="23">
        <f t="shared" si="2"/>
        <v>4.679165180191923</v>
      </c>
      <c r="M30" s="23">
        <f t="shared" si="2"/>
        <v>3.2735607151667878</v>
      </c>
      <c r="N30" s="23">
        <f t="shared" si="2"/>
        <v>2.2412280401072486</v>
      </c>
      <c r="O30" s="23">
        <f t="shared" si="2"/>
        <v>1.5042191135329208</v>
      </c>
      <c r="P30" s="23">
        <f t="shared" si="2"/>
        <v>0.9913853419550982</v>
      </c>
      <c r="Q30" s="23">
        <f t="shared" si="2"/>
        <v>0.64269780308693925</v>
      </c>
      <c r="R30" s="23">
        <f t="shared" si="2"/>
        <v>0.41048450316398721</v>
      </c>
      <c r="S30" s="24">
        <f t="shared" si="2"/>
        <v>0.25868029114307323</v>
      </c>
    </row>
    <row r="31" spans="2:19" x14ac:dyDescent="0.2">
      <c r="B31" s="20">
        <v>0.7</v>
      </c>
      <c r="C31" s="23">
        <f t="shared" si="3"/>
        <v>38.515718412183936</v>
      </c>
      <c r="D31" s="23">
        <f t="shared" si="2"/>
        <v>33.535101902013864</v>
      </c>
      <c r="E31" s="23">
        <f t="shared" si="2"/>
        <v>28.604362944168855</v>
      </c>
      <c r="F31" s="23">
        <f t="shared" si="2"/>
        <v>23.795386973766014</v>
      </c>
      <c r="G31" s="23">
        <f t="shared" si="2"/>
        <v>19.222064422220129</v>
      </c>
      <c r="H31" s="23">
        <f t="shared" si="2"/>
        <v>15.02432851295228</v>
      </c>
      <c r="I31" s="23">
        <f t="shared" si="2"/>
        <v>11.334939503100543</v>
      </c>
      <c r="J31" s="23">
        <f t="shared" si="2"/>
        <v>8.2446262454245058</v>
      </c>
      <c r="K31" s="23">
        <f t="shared" si="2"/>
        <v>5.7817770465876279</v>
      </c>
      <c r="L31" s="23">
        <f t="shared" si="2"/>
        <v>3.9130225144750241</v>
      </c>
      <c r="M31" s="23">
        <f t="shared" si="2"/>
        <v>2.5600017492799658</v>
      </c>
      <c r="N31" s="23">
        <f t="shared" si="2"/>
        <v>1.6223655497988254</v>
      </c>
      <c r="O31" s="23">
        <f t="shared" si="2"/>
        <v>0.99825754920453669</v>
      </c>
      <c r="P31" s="23">
        <f t="shared" si="2"/>
        <v>0.59781168196698165</v>
      </c>
      <c r="Q31" s="23">
        <f t="shared" si="2"/>
        <v>0.34926098230294578</v>
      </c>
      <c r="R31" s="23">
        <f t="shared" si="2"/>
        <v>0.19952644077666859</v>
      </c>
      <c r="S31" s="24">
        <f t="shared" si="2"/>
        <v>0.11170277872588597</v>
      </c>
    </row>
    <row r="32" spans="2:19" x14ac:dyDescent="0.2">
      <c r="B32" s="20">
        <v>0.8</v>
      </c>
      <c r="C32" s="23">
        <f t="shared" si="3"/>
        <v>39.005216516878967</v>
      </c>
      <c r="D32" s="23">
        <f t="shared" si="2"/>
        <v>34.007498756945893</v>
      </c>
      <c r="E32" s="23">
        <f t="shared" si="2"/>
        <v>29.022155721871059</v>
      </c>
      <c r="F32" s="23">
        <f t="shared" si="2"/>
        <v>24.086110432638677</v>
      </c>
      <c r="G32" s="23">
        <f t="shared" si="2"/>
        <v>19.289517823265356</v>
      </c>
      <c r="H32" s="23">
        <f t="shared" si="2"/>
        <v>14.788689414252943</v>
      </c>
      <c r="I32" s="23">
        <f t="shared" si="2"/>
        <v>10.779412158580612</v>
      </c>
      <c r="J32" s="23">
        <f t="shared" si="2"/>
        <v>7.4339357168397697</v>
      </c>
      <c r="K32" s="23">
        <f t="shared" si="2"/>
        <v>4.8389974263930711</v>
      </c>
      <c r="L32" s="23">
        <f t="shared" si="2"/>
        <v>2.9725396508975379</v>
      </c>
      <c r="M32" s="23">
        <f t="shared" si="2"/>
        <v>1.72589701175038</v>
      </c>
      <c r="N32" s="23">
        <f t="shared" si="2"/>
        <v>0.94976265090766532</v>
      </c>
      <c r="O32" s="23">
        <f t="shared" si="2"/>
        <v>0.49709293381796016</v>
      </c>
      <c r="P32" s="23">
        <f t="shared" si="2"/>
        <v>0.24839600281159591</v>
      </c>
      <c r="Q32" s="23">
        <f t="shared" si="2"/>
        <v>0.11897086273959134</v>
      </c>
      <c r="R32" s="23">
        <f t="shared" si="2"/>
        <v>5.4827730456269652E-2</v>
      </c>
      <c r="S32" s="24">
        <f t="shared" si="2"/>
        <v>2.4401955353435922E-2</v>
      </c>
    </row>
    <row r="33" spans="2:19" x14ac:dyDescent="0.2">
      <c r="B33" s="20">
        <v>0.9</v>
      </c>
      <c r="C33" s="23">
        <f t="shared" si="3"/>
        <v>39.501247981982978</v>
      </c>
      <c r="D33" s="23">
        <f t="shared" si="2"/>
        <v>34.501253525882674</v>
      </c>
      <c r="E33" s="23">
        <f t="shared" si="2"/>
        <v>29.501447071858806</v>
      </c>
      <c r="F33" s="23">
        <f t="shared" si="2"/>
        <v>24.504608378965671</v>
      </c>
      <c r="G33" s="23">
        <f t="shared" si="2"/>
        <v>19.532262785798551</v>
      </c>
      <c r="H33" s="23">
        <f t="shared" si="2"/>
        <v>14.676711157736278</v>
      </c>
      <c r="I33" s="23">
        <f t="shared" si="2"/>
        <v>10.169840008738291</v>
      </c>
      <c r="J33" s="23">
        <f t="shared" si="2"/>
        <v>6.3590309056110499</v>
      </c>
      <c r="K33" s="23">
        <f t="shared" si="2"/>
        <v>3.5297056619883165</v>
      </c>
      <c r="L33" s="23">
        <f t="shared" si="2"/>
        <v>1.724101290417611</v>
      </c>
      <c r="M33" s="23">
        <f t="shared" si="2"/>
        <v>0.73992007510847557</v>
      </c>
      <c r="N33" s="23">
        <f t="shared" si="2"/>
        <v>0.28003879593470771</v>
      </c>
      <c r="O33" s="23">
        <f t="shared" si="2"/>
        <v>9.4122892704691097E-2</v>
      </c>
      <c r="P33" s="23">
        <f t="shared" si="2"/>
        <v>2.8338954705090846E-2</v>
      </c>
      <c r="Q33" s="23">
        <f t="shared" si="2"/>
        <v>7.7148469700895617E-3</v>
      </c>
      <c r="R33" s="23">
        <f t="shared" si="2"/>
        <v>1.9167388236708965E-3</v>
      </c>
      <c r="S33" s="24">
        <f t="shared" si="2"/>
        <v>4.3849249360743484E-4</v>
      </c>
    </row>
    <row r="34" spans="2:19" x14ac:dyDescent="0.2">
      <c r="B34" s="20">
        <v>1</v>
      </c>
      <c r="C34" s="25">
        <f t="shared" si="3"/>
        <v>40</v>
      </c>
      <c r="D34" s="25">
        <f t="shared" si="2"/>
        <v>35</v>
      </c>
      <c r="E34" s="25">
        <f t="shared" si="2"/>
        <v>30</v>
      </c>
      <c r="F34" s="25">
        <f t="shared" si="2"/>
        <v>25</v>
      </c>
      <c r="G34" s="25">
        <f t="shared" si="2"/>
        <v>20</v>
      </c>
      <c r="H34" s="25">
        <f t="shared" si="2"/>
        <v>15</v>
      </c>
      <c r="I34" s="25">
        <f t="shared" si="2"/>
        <v>10</v>
      </c>
      <c r="J34" s="25">
        <f t="shared" si="2"/>
        <v>5</v>
      </c>
      <c r="K34" s="25">
        <f t="shared" si="2"/>
        <v>0</v>
      </c>
      <c r="L34" s="25">
        <f t="shared" si="2"/>
        <v>0</v>
      </c>
      <c r="M34" s="25">
        <f t="shared" si="2"/>
        <v>0</v>
      </c>
      <c r="N34" s="25">
        <f t="shared" si="2"/>
        <v>0</v>
      </c>
      <c r="O34" s="25">
        <f t="shared" si="2"/>
        <v>0</v>
      </c>
      <c r="P34" s="25">
        <f t="shared" si="2"/>
        <v>0</v>
      </c>
      <c r="Q34" s="25">
        <f t="shared" si="2"/>
        <v>0</v>
      </c>
      <c r="R34" s="25">
        <f t="shared" si="2"/>
        <v>0</v>
      </c>
      <c r="S34" s="26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Theo Wilson</cp:lastModifiedBy>
  <cp:revision/>
  <dcterms:created xsi:type="dcterms:W3CDTF">2025-04-22T13:23:53Z</dcterms:created>
  <dcterms:modified xsi:type="dcterms:W3CDTF">2025-05-08T15:02:23Z</dcterms:modified>
  <cp:category/>
  <cp:contentStatus/>
</cp:coreProperties>
</file>